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00 project\2024 projects and all materials\2 support\OPPO\OV50D 50E\OV50D\OPPO_Zhuque_OV50D40-setting-NormalNormal-24MHz_20241216\"/>
    </mc:Choice>
  </mc:AlternateContent>
  <bookViews>
    <workbookView xWindow="-110" yWindow="-110" windowWidth="23260" windowHeight="12580"/>
  </bookViews>
  <sheets>
    <sheet name="Sheet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" i="1" l="1"/>
  <c r="O10" i="1"/>
  <c r="N11" i="1"/>
  <c r="L11" i="1"/>
  <c r="M11" i="1"/>
  <c r="J11" i="1"/>
  <c r="K11" i="1"/>
  <c r="J10" i="1"/>
  <c r="K10" i="1"/>
  <c r="M10" i="1"/>
  <c r="L10" i="1"/>
  <c r="N10" i="1"/>
  <c r="K9" i="1"/>
  <c r="K8" i="1"/>
  <c r="K7" i="1"/>
  <c r="K6" i="1"/>
  <c r="J6" i="1"/>
  <c r="J9" i="1"/>
  <c r="J8" i="1"/>
  <c r="J7" i="1"/>
  <c r="O9" i="1"/>
  <c r="O8" i="1"/>
  <c r="O7" i="1"/>
  <c r="O6" i="1"/>
  <c r="N9" i="1"/>
  <c r="N8" i="1"/>
  <c r="N7" i="1"/>
  <c r="N6" i="1"/>
  <c r="L9" i="1"/>
  <c r="L8" i="1"/>
  <c r="L7" i="1"/>
  <c r="L6" i="1"/>
  <c r="M9" i="1"/>
  <c r="M8" i="1"/>
  <c r="M7" i="1"/>
  <c r="M6" i="1"/>
</calcChain>
</file>

<file path=xl/sharedStrings.xml><?xml version="1.0" encoding="utf-8"?>
<sst xmlns="http://schemas.openxmlformats.org/spreadsheetml/2006/main" count="83" uniqueCount="51">
  <si>
    <t>OutputInfo</t>
    <phoneticPr fontId="1" type="noConversion"/>
  </si>
  <si>
    <t>Mode</t>
    <phoneticPr fontId="1" type="noConversion"/>
  </si>
  <si>
    <t>resolution</t>
    <phoneticPr fontId="1" type="noConversion"/>
  </si>
  <si>
    <t>Xoutput</t>
    <phoneticPr fontId="1" type="noConversion"/>
  </si>
  <si>
    <t>Youtput</t>
    <phoneticPr fontId="1" type="noConversion"/>
  </si>
  <si>
    <t>Mclk
(MHz)</t>
    <phoneticPr fontId="1" type="noConversion"/>
  </si>
  <si>
    <t>SA1_clk
(MHz)</t>
    <phoneticPr fontId="1" type="noConversion"/>
  </si>
  <si>
    <t>HTS</t>
    <phoneticPr fontId="1" type="noConversion"/>
  </si>
  <si>
    <t>VTS</t>
    <phoneticPr fontId="1" type="noConversion"/>
  </si>
  <si>
    <t>Tline
(us)</t>
    <phoneticPr fontId="1" type="noConversion"/>
  </si>
  <si>
    <t>Frame
Rate</t>
    <phoneticPr fontId="1" type="noConversion"/>
  </si>
  <si>
    <t>Blanking</t>
    <phoneticPr fontId="1" type="noConversion"/>
  </si>
  <si>
    <t>MIPI</t>
    <phoneticPr fontId="1" type="noConversion"/>
  </si>
  <si>
    <t>PDAF</t>
    <phoneticPr fontId="1" type="noConversion"/>
  </si>
  <si>
    <t>Orientation</t>
    <phoneticPr fontId="1" type="noConversion"/>
  </si>
  <si>
    <t>Bayer
pattern</t>
    <phoneticPr fontId="1" type="noConversion"/>
  </si>
  <si>
    <t>H-blank
(us)</t>
    <phoneticPr fontId="1" type="noConversion"/>
  </si>
  <si>
    <t>V-blank
(ms)</t>
    <phoneticPr fontId="1" type="noConversion"/>
  </si>
  <si>
    <t>C-phy/D-phy</t>
    <phoneticPr fontId="1" type="noConversion"/>
  </si>
  <si>
    <t>LaneNum
TriNum</t>
    <phoneticPr fontId="1" type="noConversion"/>
  </si>
  <si>
    <t>MIPI speed
(Mbps)</t>
    <phoneticPr fontId="1" type="noConversion"/>
  </si>
  <si>
    <t>PDAF support
yes/no</t>
    <phoneticPr fontId="1" type="noConversion"/>
  </si>
  <si>
    <t>PDAF data
output</t>
    <phoneticPr fontId="1" type="noConversion"/>
  </si>
  <si>
    <t>PD
data</t>
    <phoneticPr fontId="1" type="noConversion"/>
  </si>
  <si>
    <t>mirror</t>
    <phoneticPr fontId="1" type="noConversion"/>
  </si>
  <si>
    <t>flip</t>
    <phoneticPr fontId="1" type="noConversion"/>
  </si>
  <si>
    <t>4096X3072</t>
    <phoneticPr fontId="1" type="noConversion"/>
  </si>
  <si>
    <t>4096X2304</t>
    <phoneticPr fontId="1" type="noConversion"/>
  </si>
  <si>
    <t>D-phy</t>
    <phoneticPr fontId="1" type="noConversion"/>
  </si>
  <si>
    <t>yes</t>
    <phoneticPr fontId="1" type="noConversion"/>
  </si>
  <si>
    <t>VC</t>
    <phoneticPr fontId="1" type="noConversion"/>
  </si>
  <si>
    <t>992x760</t>
    <phoneticPr fontId="1" type="noConversion"/>
  </si>
  <si>
    <t>992x576</t>
    <phoneticPr fontId="1" type="noConversion"/>
  </si>
  <si>
    <t>GRBG</t>
    <phoneticPr fontId="1" type="noConversion"/>
  </si>
  <si>
    <t>M00</t>
    <phoneticPr fontId="1" type="noConversion"/>
  </si>
  <si>
    <t>4096*2048</t>
  </si>
  <si>
    <t>M03</t>
    <phoneticPr fontId="1" type="noConversion"/>
  </si>
  <si>
    <t>M01</t>
    <phoneticPr fontId="1" type="noConversion"/>
  </si>
  <si>
    <t>M04</t>
    <phoneticPr fontId="1" type="noConversion"/>
  </si>
  <si>
    <t>normal</t>
    <phoneticPr fontId="1" type="noConversion"/>
  </si>
  <si>
    <t>992x512</t>
  </si>
  <si>
    <t>VTS</t>
    <phoneticPr fontId="1" type="noConversion"/>
  </si>
  <si>
    <t>Exp_max(s)</t>
    <phoneticPr fontId="1" type="noConversion"/>
  </si>
  <si>
    <t>BGGR</t>
    <phoneticPr fontId="1" type="noConversion"/>
  </si>
  <si>
    <t>M05</t>
    <phoneticPr fontId="1" type="noConversion"/>
  </si>
  <si>
    <t>M06</t>
    <phoneticPr fontId="1" type="noConversion"/>
  </si>
  <si>
    <t>3200x2400</t>
    <phoneticPr fontId="1" type="noConversion"/>
  </si>
  <si>
    <t>800x600</t>
    <phoneticPr fontId="1" type="noConversion"/>
  </si>
  <si>
    <t>1792x1344</t>
  </si>
  <si>
    <t>448x336</t>
  </si>
  <si>
    <t>R3840/380E/380F(max)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</si>
</sst>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 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4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8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X19"/>
  <sheetViews>
    <sheetView tabSelected="1" topLeftCell="B2" zoomScale="70" zoomScaleNormal="70" workbookViewId="0">
      <selection activeCell="M22" sqref="M22"/>
    </sheetView>
  </sheetViews>
  <sheetFormatPr defaultRowHeight="14" x14ac:dyDescent="0.3"/>
  <cols>
    <col min="3" max="3" width="10.25" customWidth="1"/>
    <col min="4" max="4" width="12.33203125" customWidth="1"/>
    <col min="5" max="5" width="10.08203125" customWidth="1"/>
    <col min="10" max="11" width="9.25" customWidth="1"/>
    <col min="16" max="16" width="12.9140625" customWidth="1"/>
    <col min="17" max="17" width="9.75" customWidth="1"/>
    <col min="18" max="18" width="9.4140625" customWidth="1"/>
  </cols>
  <sheetData>
    <row r="3" spans="2:24" ht="14.5" thickBot="1" x14ac:dyDescent="0.35">
      <c r="B3" t="s">
        <v>0</v>
      </c>
    </row>
    <row r="4" spans="2:24" x14ac:dyDescent="0.3">
      <c r="B4" s="18" t="s">
        <v>1</v>
      </c>
      <c r="C4" s="20" t="s">
        <v>2</v>
      </c>
      <c r="D4" s="20" t="s">
        <v>3</v>
      </c>
      <c r="E4" s="20" t="s">
        <v>4</v>
      </c>
      <c r="F4" s="16" t="s">
        <v>5</v>
      </c>
      <c r="G4" s="16" t="s">
        <v>6</v>
      </c>
      <c r="H4" s="20" t="s">
        <v>7</v>
      </c>
      <c r="I4" s="20" t="s">
        <v>8</v>
      </c>
      <c r="J4" s="20"/>
      <c r="K4" s="20"/>
      <c r="L4" s="16" t="s">
        <v>9</v>
      </c>
      <c r="M4" s="16" t="s">
        <v>10</v>
      </c>
      <c r="N4" s="20" t="s">
        <v>11</v>
      </c>
      <c r="O4" s="20"/>
      <c r="P4" s="20" t="s">
        <v>12</v>
      </c>
      <c r="Q4" s="20"/>
      <c r="R4" s="20"/>
      <c r="S4" s="20" t="s">
        <v>13</v>
      </c>
      <c r="T4" s="20"/>
      <c r="U4" s="20"/>
      <c r="V4" s="20" t="s">
        <v>14</v>
      </c>
      <c r="W4" s="20"/>
      <c r="X4" s="21" t="s">
        <v>15</v>
      </c>
    </row>
    <row r="5" spans="2:24" ht="42" x14ac:dyDescent="0.3">
      <c r="B5" s="19"/>
      <c r="C5" s="17"/>
      <c r="D5" s="17"/>
      <c r="E5" s="17"/>
      <c r="F5" s="17"/>
      <c r="G5" s="17"/>
      <c r="H5" s="17"/>
      <c r="I5" s="1" t="s">
        <v>41</v>
      </c>
      <c r="J5" s="2" t="s">
        <v>50</v>
      </c>
      <c r="K5" s="2" t="s">
        <v>42</v>
      </c>
      <c r="L5" s="17"/>
      <c r="M5" s="23"/>
      <c r="N5" s="2" t="s">
        <v>16</v>
      </c>
      <c r="O5" s="2" t="s">
        <v>17</v>
      </c>
      <c r="P5" s="3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2"/>
    </row>
    <row r="6" spans="2:24" x14ac:dyDescent="0.3">
      <c r="B6" s="4" t="s">
        <v>34</v>
      </c>
      <c r="C6" s="3" t="s">
        <v>26</v>
      </c>
      <c r="D6" s="3">
        <v>4096</v>
      </c>
      <c r="E6" s="3">
        <v>3072</v>
      </c>
      <c r="F6" s="3">
        <v>24</v>
      </c>
      <c r="G6" s="3">
        <v>100</v>
      </c>
      <c r="H6" s="3">
        <v>425</v>
      </c>
      <c r="I6" s="3">
        <v>7840</v>
      </c>
      <c r="J6" s="3">
        <f t="shared" ref="J6:J11" si="0">2^24</f>
        <v>16777216</v>
      </c>
      <c r="K6" s="3">
        <f t="shared" ref="K6:K11" si="1">ROUND((J6-40)*L6/10^6,2)</f>
        <v>142.61000000000001</v>
      </c>
      <c r="L6" s="3">
        <f t="shared" ref="L6:L11" si="2">H6/G6*2</f>
        <v>8.5</v>
      </c>
      <c r="M6" s="5">
        <f>G6/H6/I6*10^6</f>
        <v>30.012004801920767</v>
      </c>
      <c r="N6" s="3">
        <f t="shared" ref="N6:N11" si="3">ROUND(L6-(D6*10)/(Q6*R6),3)</f>
        <v>3.1160000000000001</v>
      </c>
      <c r="O6" s="3">
        <f t="shared" ref="O6:O11" si="4">ROUND((I6/2-E6)*L6/1000,3)</f>
        <v>7.2080000000000002</v>
      </c>
      <c r="P6" s="3" t="s">
        <v>28</v>
      </c>
      <c r="Q6" s="3">
        <v>4</v>
      </c>
      <c r="R6" s="3">
        <v>1902</v>
      </c>
      <c r="S6" s="3" t="s">
        <v>29</v>
      </c>
      <c r="T6" s="3" t="s">
        <v>30</v>
      </c>
      <c r="U6" s="3" t="s">
        <v>31</v>
      </c>
      <c r="V6" s="3" t="s">
        <v>39</v>
      </c>
      <c r="W6" s="3" t="s">
        <v>39</v>
      </c>
      <c r="X6" s="6" t="s">
        <v>43</v>
      </c>
    </row>
    <row r="7" spans="2:24" x14ac:dyDescent="0.3">
      <c r="B7" s="4" t="s">
        <v>37</v>
      </c>
      <c r="C7" s="3" t="s">
        <v>27</v>
      </c>
      <c r="D7" s="3">
        <v>4096</v>
      </c>
      <c r="E7" s="3">
        <v>2304</v>
      </c>
      <c r="F7" s="3">
        <v>24</v>
      </c>
      <c r="G7" s="3">
        <v>100</v>
      </c>
      <c r="H7" s="3">
        <v>425</v>
      </c>
      <c r="I7" s="3">
        <v>7840</v>
      </c>
      <c r="J7" s="3">
        <f t="shared" si="0"/>
        <v>16777216</v>
      </c>
      <c r="K7" s="3">
        <f t="shared" si="1"/>
        <v>142.61000000000001</v>
      </c>
      <c r="L7" s="3">
        <f t="shared" si="2"/>
        <v>8.5</v>
      </c>
      <c r="M7" s="5">
        <f t="shared" ref="M7:M10" si="5">G7/H7/I7*10^6</f>
        <v>30.012004801920767</v>
      </c>
      <c r="N7" s="3">
        <f t="shared" si="3"/>
        <v>3.1160000000000001</v>
      </c>
      <c r="O7" s="3">
        <f t="shared" si="4"/>
        <v>13.736000000000001</v>
      </c>
      <c r="P7" s="3" t="s">
        <v>28</v>
      </c>
      <c r="Q7" s="3">
        <v>4</v>
      </c>
      <c r="R7" s="3">
        <v>1902</v>
      </c>
      <c r="S7" s="3" t="s">
        <v>29</v>
      </c>
      <c r="T7" s="3" t="s">
        <v>30</v>
      </c>
      <c r="U7" s="3" t="s">
        <v>32</v>
      </c>
      <c r="V7" s="3" t="s">
        <v>39</v>
      </c>
      <c r="W7" s="3" t="s">
        <v>39</v>
      </c>
      <c r="X7" s="6" t="s">
        <v>43</v>
      </c>
    </row>
    <row r="8" spans="2:24" x14ac:dyDescent="0.3">
      <c r="B8" s="4" t="s">
        <v>36</v>
      </c>
      <c r="C8" s="3" t="s">
        <v>27</v>
      </c>
      <c r="D8" s="3">
        <v>4096</v>
      </c>
      <c r="E8" s="3">
        <v>2304</v>
      </c>
      <c r="F8" s="3">
        <v>24</v>
      </c>
      <c r="G8" s="3">
        <v>100</v>
      </c>
      <c r="H8" s="7">
        <v>328</v>
      </c>
      <c r="I8" s="7">
        <v>5080</v>
      </c>
      <c r="J8" s="3">
        <f t="shared" si="0"/>
        <v>16777216</v>
      </c>
      <c r="K8" s="3">
        <f t="shared" si="1"/>
        <v>110.06</v>
      </c>
      <c r="L8" s="3">
        <f t="shared" si="2"/>
        <v>6.56</v>
      </c>
      <c r="M8" s="5">
        <f t="shared" si="5"/>
        <v>60.015363933166888</v>
      </c>
      <c r="N8" s="3">
        <f t="shared" si="3"/>
        <v>1.1759999999999999</v>
      </c>
      <c r="O8" s="3">
        <f t="shared" si="4"/>
        <v>1.548</v>
      </c>
      <c r="P8" s="3" t="s">
        <v>28</v>
      </c>
      <c r="Q8" s="3">
        <v>4</v>
      </c>
      <c r="R8" s="3">
        <v>1902</v>
      </c>
      <c r="S8" s="3" t="s">
        <v>29</v>
      </c>
      <c r="T8" s="3" t="s">
        <v>30</v>
      </c>
      <c r="U8" s="3" t="s">
        <v>32</v>
      </c>
      <c r="V8" s="3" t="s">
        <v>39</v>
      </c>
      <c r="W8" s="3" t="s">
        <v>39</v>
      </c>
      <c r="X8" s="6" t="s">
        <v>43</v>
      </c>
    </row>
    <row r="9" spans="2:24" x14ac:dyDescent="0.3">
      <c r="B9" s="4" t="s">
        <v>38</v>
      </c>
      <c r="C9" s="8" t="s">
        <v>35</v>
      </c>
      <c r="D9" s="3">
        <v>4096</v>
      </c>
      <c r="E9" s="7">
        <v>2048</v>
      </c>
      <c r="F9" s="7">
        <v>24</v>
      </c>
      <c r="G9" s="7">
        <v>100</v>
      </c>
      <c r="H9" s="7">
        <v>425</v>
      </c>
      <c r="I9" s="7">
        <v>7840</v>
      </c>
      <c r="J9" s="3">
        <f t="shared" si="0"/>
        <v>16777216</v>
      </c>
      <c r="K9" s="3">
        <f t="shared" si="1"/>
        <v>142.61000000000001</v>
      </c>
      <c r="L9" s="3">
        <f t="shared" si="2"/>
        <v>8.5</v>
      </c>
      <c r="M9" s="5">
        <f t="shared" si="5"/>
        <v>30.012004801920767</v>
      </c>
      <c r="N9" s="3">
        <f t="shared" si="3"/>
        <v>3.1160000000000001</v>
      </c>
      <c r="O9" s="3">
        <f t="shared" si="4"/>
        <v>15.912000000000001</v>
      </c>
      <c r="P9" s="3" t="s">
        <v>28</v>
      </c>
      <c r="Q9" s="3">
        <v>4</v>
      </c>
      <c r="R9" s="3">
        <v>1902</v>
      </c>
      <c r="S9" s="3" t="s">
        <v>29</v>
      </c>
      <c r="T9" s="3" t="s">
        <v>30</v>
      </c>
      <c r="U9" s="8" t="s">
        <v>40</v>
      </c>
      <c r="V9" s="3" t="s">
        <v>39</v>
      </c>
      <c r="W9" s="3" t="s">
        <v>39</v>
      </c>
      <c r="X9" s="6" t="s">
        <v>33</v>
      </c>
    </row>
    <row r="10" spans="2:24" x14ac:dyDescent="0.3">
      <c r="B10" s="9" t="s">
        <v>44</v>
      </c>
      <c r="C10" s="7" t="s">
        <v>46</v>
      </c>
      <c r="D10" s="7">
        <v>3200</v>
      </c>
      <c r="E10" s="7">
        <v>2400</v>
      </c>
      <c r="F10" s="7">
        <v>24</v>
      </c>
      <c r="G10" s="7">
        <v>100</v>
      </c>
      <c r="H10" s="7">
        <v>425</v>
      </c>
      <c r="I10" s="7">
        <v>9804</v>
      </c>
      <c r="J10" s="3">
        <f t="shared" si="0"/>
        <v>16777216</v>
      </c>
      <c r="K10" s="3">
        <f t="shared" si="1"/>
        <v>142.61000000000001</v>
      </c>
      <c r="L10" s="7">
        <f t="shared" si="2"/>
        <v>8.5</v>
      </c>
      <c r="M10" s="5">
        <f t="shared" si="5"/>
        <v>23.999808001535989</v>
      </c>
      <c r="N10" s="7">
        <f t="shared" si="3"/>
        <v>4.2939999999999996</v>
      </c>
      <c r="O10" s="3">
        <f t="shared" si="4"/>
        <v>21.266999999999999</v>
      </c>
      <c r="P10" s="3" t="s">
        <v>28</v>
      </c>
      <c r="Q10" s="3">
        <v>4</v>
      </c>
      <c r="R10" s="3">
        <v>1902</v>
      </c>
      <c r="S10" s="3" t="s">
        <v>29</v>
      </c>
      <c r="T10" s="3" t="s">
        <v>30</v>
      </c>
      <c r="U10" s="7" t="s">
        <v>47</v>
      </c>
      <c r="V10" s="3" t="s">
        <v>39</v>
      </c>
      <c r="W10" s="3" t="s">
        <v>39</v>
      </c>
      <c r="X10" s="6" t="s">
        <v>33</v>
      </c>
    </row>
    <row r="11" spans="2:24" ht="14.5" thickBot="1" x14ac:dyDescent="0.35">
      <c r="B11" s="10" t="s">
        <v>45</v>
      </c>
      <c r="C11" s="11" t="s">
        <v>48</v>
      </c>
      <c r="D11" s="12">
        <v>1792</v>
      </c>
      <c r="E11" s="12">
        <v>1344</v>
      </c>
      <c r="F11" s="12">
        <v>24</v>
      </c>
      <c r="G11" s="12">
        <v>100</v>
      </c>
      <c r="H11" s="12">
        <v>425</v>
      </c>
      <c r="I11" s="7">
        <v>9804</v>
      </c>
      <c r="J11" s="13">
        <f t="shared" si="0"/>
        <v>16777216</v>
      </c>
      <c r="K11" s="13">
        <f t="shared" si="1"/>
        <v>142.61000000000001</v>
      </c>
      <c r="L11" s="12">
        <f t="shared" si="2"/>
        <v>8.5</v>
      </c>
      <c r="M11" s="14">
        <f t="shared" ref="M11" si="6">G11/H11/I11*10^6</f>
        <v>23.999808001535989</v>
      </c>
      <c r="N11" s="12">
        <f t="shared" si="3"/>
        <v>6.1449999999999996</v>
      </c>
      <c r="O11" s="13">
        <f t="shared" si="4"/>
        <v>30.242999999999999</v>
      </c>
      <c r="P11" s="13" t="s">
        <v>28</v>
      </c>
      <c r="Q11" s="13">
        <v>4</v>
      </c>
      <c r="R11" s="13">
        <v>1902</v>
      </c>
      <c r="S11" s="13" t="s">
        <v>29</v>
      </c>
      <c r="T11" s="13" t="s">
        <v>30</v>
      </c>
      <c r="U11" s="11" t="s">
        <v>49</v>
      </c>
      <c r="V11" s="13" t="s">
        <v>39</v>
      </c>
      <c r="W11" s="13" t="s">
        <v>39</v>
      </c>
      <c r="X11" s="15" t="s">
        <v>33</v>
      </c>
    </row>
    <row r="13" spans="2:24" x14ac:dyDescent="0.3">
      <c r="G13" s="24"/>
      <c r="H13" s="24"/>
    </row>
    <row r="17" spans="7:9" x14ac:dyDescent="0.3">
      <c r="I17" s="25"/>
    </row>
    <row r="18" spans="7:9" x14ac:dyDescent="0.3">
      <c r="G18" s="24"/>
      <c r="H18" s="24"/>
    </row>
    <row r="19" spans="7:9" x14ac:dyDescent="0.3">
      <c r="G19" s="24"/>
      <c r="H19" s="24"/>
    </row>
  </sheetData>
  <mergeCells count="15">
    <mergeCell ref="V4:W4"/>
    <mergeCell ref="X4:X5"/>
    <mergeCell ref="H4:H5"/>
    <mergeCell ref="L4:L5"/>
    <mergeCell ref="M4:M5"/>
    <mergeCell ref="N4:O4"/>
    <mergeCell ref="P4:R4"/>
    <mergeCell ref="S4:U4"/>
    <mergeCell ref="I4:K4"/>
    <mergeCell ref="G4:G5"/>
    <mergeCell ref="B4:B5"/>
    <mergeCell ref="C4:C5"/>
    <mergeCell ref="D4:D5"/>
    <mergeCell ref="E4:E5"/>
    <mergeCell ref="F4:F5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(Ying) Wang 王莹</dc:creator>
  <cp:lastModifiedBy>Jacky (Honghai) Xi 郗宏海</cp:lastModifiedBy>
  <dcterms:created xsi:type="dcterms:W3CDTF">2024-09-26T08:51:48Z</dcterms:created>
  <dcterms:modified xsi:type="dcterms:W3CDTF">2024-12-16T08:46:41Z</dcterms:modified>
</cp:coreProperties>
</file>