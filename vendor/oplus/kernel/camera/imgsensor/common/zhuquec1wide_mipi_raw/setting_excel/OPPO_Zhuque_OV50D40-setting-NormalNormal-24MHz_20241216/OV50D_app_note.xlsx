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855" yWindow="465" windowWidth="14805" windowHeight="7650" tabRatio="686"/>
  </bookViews>
  <sheets>
    <sheet name="version" sheetId="11" r:id="rId1"/>
    <sheet name="overview" sheetId="13" r:id="rId2"/>
    <sheet name="Mode List" sheetId="45" r:id="rId3"/>
    <sheet name="Gain" sheetId="31" r:id="rId4"/>
    <sheet name="Exposure" sheetId="41" r:id="rId5"/>
    <sheet name="MIPI" sheetId="49" r:id="rId6"/>
    <sheet name="Mirror &amp; Flip" sheetId="15" r:id="rId7"/>
    <sheet name="Dual" sheetId="35" r:id="rId8"/>
    <sheet name="PD control" sheetId="44" r:id="rId9"/>
    <sheet name="PD map" sheetId="42" r:id="rId10"/>
    <sheet name="Power consumption" sheetId="46" r:id="rId11"/>
    <sheet name="MCLK" sheetId="47" r:id="rId12"/>
    <sheet name="Power management" sheetId="48" r:id="rId13"/>
  </sheets>
  <externalReferences>
    <externalReference r:id="rId14"/>
    <externalReference r:id="rId15"/>
    <externalReference r:id="rId16"/>
    <externalReference r:id="rId17"/>
  </externalReferences>
  <definedNames>
    <definedName name="_4b2" localSheetId="7">#REF!</definedName>
    <definedName name="_4b2" localSheetId="3">#REF!</definedName>
    <definedName name="_4b2" localSheetId="6">#REF!</definedName>
    <definedName name="_4b2">#REF!</definedName>
    <definedName name="_R3664" localSheetId="3">#REF!</definedName>
    <definedName name="_R3664" localSheetId="6">#REF!</definedName>
    <definedName name="_R3664">#REF!</definedName>
    <definedName name="a">#REF!</definedName>
    <definedName name="EXP" localSheetId="7">#REF!</definedName>
    <definedName name="EXP" localSheetId="3">Gain!#REF!</definedName>
    <definedName name="EXP" localSheetId="6">[1]Gain!#REF!</definedName>
    <definedName name="EXP" localSheetId="1">'[2]Gain &amp; Exposure'!#REF!</definedName>
    <definedName name="EXP">#REF!</definedName>
    <definedName name="HTS" localSheetId="7">#REF!</definedName>
    <definedName name="HTS" localSheetId="3">#REF!</definedName>
    <definedName name="HTS" localSheetId="6">#REF!</definedName>
    <definedName name="HTS">#REF!</definedName>
    <definedName name="MCLK" localSheetId="3">[3]MIPI!$A$64:$A$65</definedName>
    <definedName name="MCLK" localSheetId="6">[1]MIPI!$A$71:$A$72</definedName>
    <definedName name="MCLK" localSheetId="1">[2]PLL!$A$3</definedName>
    <definedName name="MCLK">#REF!</definedName>
    <definedName name="MCLK_ULP" localSheetId="7">#REF!</definedName>
    <definedName name="MCLK_ULP" localSheetId="3">[4]PLL_ULP!$A$3</definedName>
    <definedName name="MCLK_ULP">#REF!</definedName>
    <definedName name="MIPI_bitrate_ULP" localSheetId="7">#REF!</definedName>
    <definedName name="MIPI_bitrate_ULP" localSheetId="3">[4]PLL_ULP!$P$17</definedName>
    <definedName name="MIPI_bitrate_ULP">#REF!</definedName>
    <definedName name="MIPI_datarate" localSheetId="7">#REF!</definedName>
    <definedName name="MIPI_datarate" localSheetId="3">#REF!</definedName>
    <definedName name="MIPI_datarate" localSheetId="6">#REF!</definedName>
    <definedName name="MIPI_datarate" localSheetId="1">[2]PLL!$P$17</definedName>
    <definedName name="MIPI_datarate">#REF!</definedName>
    <definedName name="MIPI_PCLK" localSheetId="7">#REF!</definedName>
    <definedName name="MIPI_PCLK">#REF!</definedName>
    <definedName name="SA1_CLK" localSheetId="3">#REF!</definedName>
    <definedName name="SA1_CLK" localSheetId="6">#REF!</definedName>
    <definedName name="SA1_CLK">#REF!</definedName>
    <definedName name="STS_VTS" localSheetId="3">#REF!</definedName>
    <definedName name="STS_VTS" localSheetId="6">#REF!</definedName>
    <definedName name="STS_VTS">#REF!</definedName>
    <definedName name="SYS_HTS" localSheetId="7">#REF!</definedName>
    <definedName name="SYS_HTS" localSheetId="3">#REF!</definedName>
    <definedName name="SYS_HTS" localSheetId="6">#REF!</definedName>
    <definedName name="SYS_HTS" localSheetId="1">[2]PLL!$J$7</definedName>
    <definedName name="SYS_HTS">#REF!</definedName>
    <definedName name="SYS_HTS_ULP" localSheetId="7">#REF!</definedName>
    <definedName name="SYS_HTS_ULP" localSheetId="3">[4]PLL_ULP!$J$7</definedName>
    <definedName name="SYS_HTS_ULP">#REF!</definedName>
    <definedName name="SYS_SA1" localSheetId="3">#REF!</definedName>
    <definedName name="SYS_SA1" localSheetId="6">#REF!</definedName>
    <definedName name="SYS_SA1">#REF!</definedName>
    <definedName name="SYS_SCLK" localSheetId="3">#REF!</definedName>
    <definedName name="SYS_SCLK" localSheetId="6">#REF!</definedName>
    <definedName name="SYS_SCLK">#REF!</definedName>
    <definedName name="SYS_VTS" localSheetId="7">#REF!</definedName>
    <definedName name="SYS_VTS" localSheetId="3">#REF!</definedName>
    <definedName name="SYS_VTS" localSheetId="6">#REF!</definedName>
    <definedName name="SYS_VTS" localSheetId="1">[2]PLL!$L$7</definedName>
    <definedName name="SYS_VTS">#REF!</definedName>
    <definedName name="SYS_VTS_ULP" localSheetId="7">#REF!</definedName>
    <definedName name="SYS_VTS_ULP" localSheetId="3">[4]PLL_ULP!$L$7</definedName>
    <definedName name="SYS_VTS_ULP">#REF!</definedName>
    <definedName name="SYSCLK" localSheetId="7">#REF!</definedName>
    <definedName name="SYSCLK" localSheetId="3">#REF!</definedName>
    <definedName name="SYSCLK" localSheetId="6">#REF!</definedName>
    <definedName name="SYSCLK" localSheetId="1">[2]PLL!$R$22</definedName>
    <definedName name="SYSCLK">#REF!</definedName>
    <definedName name="SYSCLK_ULP" localSheetId="7">#REF!</definedName>
    <definedName name="SYSCLK_ULP">#REF!</definedName>
    <definedName name="Tline" localSheetId="3">#REF!</definedName>
    <definedName name="Tline" localSheetId="6">#REF!</definedName>
    <definedName name="Tline">#REF!</definedName>
    <definedName name="Tline_ULP" localSheetId="7">#REF!</definedName>
    <definedName name="Tline_ULP" localSheetId="3">[4]PLL_ULP!$U$22</definedName>
    <definedName name="Tline_ULP">#REF!</definedName>
    <definedName name="UI" localSheetId="3">[3]MIPI!$C$33</definedName>
    <definedName name="UI" localSheetId="6">[1]MIPI!$C$32</definedName>
    <definedName name="UI" localSheetId="1">#REF!</definedName>
    <definedName name="UI">#REF!</definedName>
  </definedNames>
  <calcPr calcId="162913"/>
</workbook>
</file>

<file path=xl/calcChain.xml><?xml version="1.0" encoding="utf-8"?>
<calcChain xmlns="http://schemas.openxmlformats.org/spreadsheetml/2006/main">
  <c r="K25" i="41" l="1"/>
  <c r="G25" i="41"/>
  <c r="C25" i="41"/>
  <c r="T7" i="45" l="1"/>
  <c r="B42" i="49" l="1"/>
  <c r="B40" i="49"/>
  <c r="B41" i="49" s="1"/>
  <c r="B21" i="49"/>
  <c r="B22" i="49" s="1"/>
  <c r="B18" i="49"/>
  <c r="B19" i="49" s="1"/>
  <c r="E37" i="49" l="1"/>
  <c r="E32" i="49"/>
  <c r="E64" i="49"/>
  <c r="E61" i="49"/>
  <c r="E59" i="49"/>
  <c r="E57" i="49"/>
  <c r="E67" i="49"/>
  <c r="E35" i="49"/>
  <c r="E26" i="49"/>
  <c r="C26" i="49" s="1"/>
  <c r="E29" i="49"/>
  <c r="C29" i="49" s="1"/>
  <c r="E46" i="49"/>
  <c r="E71" i="49"/>
  <c r="E50" i="49"/>
  <c r="E54" i="49"/>
  <c r="T6" i="45"/>
  <c r="T8" i="45"/>
  <c r="T9" i="45"/>
  <c r="T10" i="45" l="1"/>
  <c r="R8" i="45"/>
  <c r="S8" i="45" s="1"/>
  <c r="R7" i="45"/>
  <c r="R6" i="45"/>
  <c r="S6" i="45" s="1"/>
  <c r="R10" i="45"/>
  <c r="S10" i="45" s="1"/>
  <c r="L10" i="45"/>
  <c r="G10" i="45"/>
  <c r="F10" i="45"/>
  <c r="R9" i="45"/>
  <c r="L9" i="45"/>
  <c r="G9" i="45"/>
  <c r="F9" i="45"/>
  <c r="L8" i="45"/>
  <c r="G8" i="45"/>
  <c r="F8" i="45"/>
  <c r="L7" i="45"/>
  <c r="G7" i="45"/>
  <c r="F7" i="45"/>
  <c r="L6" i="45"/>
  <c r="G6" i="45"/>
  <c r="F6" i="45"/>
  <c r="S9" i="45" l="1"/>
  <c r="S7" i="45"/>
  <c r="H10" i="45"/>
  <c r="H8" i="45"/>
  <c r="H7" i="45"/>
  <c r="H6" i="45"/>
  <c r="H9" i="45"/>
  <c r="K24" i="41" l="1"/>
  <c r="L25" i="41" s="1"/>
  <c r="G24" i="41"/>
  <c r="D25" i="41"/>
  <c r="B30" i="41" s="1"/>
  <c r="C24" i="41"/>
  <c r="H5" i="31"/>
  <c r="G5" i="31"/>
  <c r="J29" i="41" l="1"/>
  <c r="J28" i="41"/>
  <c r="J30" i="41"/>
  <c r="H25" i="41"/>
  <c r="F29" i="41" s="1"/>
  <c r="B28" i="41"/>
  <c r="B29" i="41"/>
  <c r="I5" i="31"/>
  <c r="F30" i="41" l="1"/>
  <c r="F28" i="41"/>
  <c r="C5" i="31" l="1"/>
  <c r="B5" i="31"/>
  <c r="A6" i="31" l="1"/>
  <c r="A7" i="31" l="1"/>
  <c r="B6" i="31"/>
  <c r="C6" i="31"/>
  <c r="A8" i="31" l="1"/>
  <c r="B7" i="31"/>
  <c r="C7" i="31"/>
  <c r="A9" i="31" l="1"/>
  <c r="C8" i="31"/>
  <c r="B8" i="31"/>
  <c r="A10" i="31" l="1"/>
  <c r="C9" i="31"/>
  <c r="B9" i="31"/>
  <c r="A11" i="31" l="1"/>
  <c r="C10" i="31"/>
  <c r="B10" i="31"/>
  <c r="A12" i="31" l="1"/>
  <c r="B11" i="31"/>
  <c r="C11" i="31"/>
  <c r="A13" i="31" l="1"/>
  <c r="B12" i="31"/>
  <c r="C12" i="31"/>
  <c r="A14" i="31" l="1"/>
  <c r="B13" i="31"/>
  <c r="C13" i="31"/>
  <c r="A15" i="31" l="1"/>
  <c r="B14" i="31"/>
  <c r="C14" i="31"/>
  <c r="A16" i="31" l="1"/>
  <c r="C15" i="31"/>
  <c r="B15" i="31"/>
  <c r="A17" i="31" l="1"/>
  <c r="C16" i="31"/>
  <c r="B16" i="31"/>
  <c r="A18" i="31" l="1"/>
  <c r="C17" i="31"/>
  <c r="B17" i="31"/>
  <c r="A19" i="31" l="1"/>
  <c r="C18" i="31"/>
  <c r="B18" i="31"/>
  <c r="A20" i="31" l="1"/>
  <c r="C19" i="31"/>
  <c r="B19" i="31"/>
  <c r="A21" i="31" l="1"/>
  <c r="B20" i="31"/>
  <c r="C20" i="31"/>
  <c r="A22" i="31" l="1"/>
  <c r="B21" i="31"/>
  <c r="C21" i="31"/>
  <c r="A23" i="31" l="1"/>
  <c r="B22" i="31"/>
  <c r="C22" i="31"/>
  <c r="A24" i="31" l="1"/>
  <c r="B23" i="31"/>
  <c r="C23" i="31"/>
  <c r="A25" i="31" l="1"/>
  <c r="C24" i="31"/>
  <c r="B24" i="31"/>
  <c r="A26" i="31" l="1"/>
  <c r="C25" i="31"/>
  <c r="B25" i="31"/>
  <c r="A27" i="31" l="1"/>
  <c r="C26" i="31"/>
  <c r="B26" i="31"/>
  <c r="A28" i="31" l="1"/>
  <c r="B27" i="31"/>
  <c r="C27" i="31"/>
  <c r="A29" i="31" l="1"/>
  <c r="B28" i="31"/>
  <c r="C28" i="31"/>
  <c r="A30" i="31" l="1"/>
  <c r="B29" i="31"/>
  <c r="C29" i="31"/>
  <c r="A31" i="31" l="1"/>
  <c r="B30" i="31"/>
  <c r="C30" i="31"/>
  <c r="A32" i="31" l="1"/>
  <c r="B31" i="31"/>
  <c r="C31" i="31"/>
  <c r="A33" i="31" l="1"/>
  <c r="C32" i="31"/>
  <c r="B32" i="31"/>
  <c r="A34" i="31" l="1"/>
  <c r="C33" i="31"/>
  <c r="B33" i="31"/>
  <c r="A35" i="31" l="1"/>
  <c r="C34" i="31"/>
  <c r="B34" i="31"/>
  <c r="A36" i="31" l="1"/>
  <c r="C35" i="31"/>
  <c r="B35" i="31"/>
  <c r="A37" i="31" l="1"/>
  <c r="B36" i="31"/>
  <c r="C36" i="31"/>
  <c r="A38" i="31" l="1"/>
  <c r="B37" i="31"/>
  <c r="C37" i="31"/>
  <c r="A39" i="31" l="1"/>
  <c r="B38" i="31"/>
  <c r="C38" i="31"/>
  <c r="A40" i="31" l="1"/>
  <c r="C39" i="31"/>
  <c r="B39" i="31"/>
  <c r="A41" i="31" l="1"/>
  <c r="C40" i="31"/>
  <c r="B40" i="31"/>
  <c r="A42" i="31" l="1"/>
  <c r="C41" i="31"/>
  <c r="B41" i="31"/>
  <c r="A43" i="31" l="1"/>
  <c r="C42" i="31"/>
  <c r="B42" i="31"/>
  <c r="A44" i="31" l="1"/>
  <c r="B43" i="31"/>
  <c r="C43" i="31"/>
  <c r="A45" i="31" l="1"/>
  <c r="B44" i="31"/>
  <c r="C44" i="31"/>
  <c r="A46" i="31" l="1"/>
  <c r="B45" i="31"/>
  <c r="C45" i="31"/>
  <c r="A47" i="31" l="1"/>
  <c r="B46" i="31"/>
  <c r="C46" i="31"/>
  <c r="A48" i="31" l="1"/>
  <c r="B47" i="31"/>
  <c r="C47" i="31"/>
  <c r="A49" i="31" l="1"/>
  <c r="C48" i="31"/>
  <c r="B48" i="31"/>
  <c r="A50" i="31" l="1"/>
  <c r="C49" i="31"/>
  <c r="B49" i="31"/>
  <c r="A51" i="31" l="1"/>
  <c r="C50" i="31"/>
  <c r="B50" i="31"/>
  <c r="A52" i="31" l="1"/>
  <c r="C51" i="31"/>
  <c r="B51" i="31"/>
  <c r="A53" i="31" l="1"/>
  <c r="B52" i="31"/>
  <c r="C52" i="31"/>
  <c r="A54" i="31" l="1"/>
  <c r="B53" i="31"/>
  <c r="C53" i="31"/>
  <c r="A55" i="31" l="1"/>
  <c r="B54" i="31"/>
  <c r="C54" i="31"/>
  <c r="A56" i="31" l="1"/>
  <c r="B55" i="31"/>
  <c r="C55" i="31"/>
  <c r="A57" i="31" l="1"/>
  <c r="C56" i="31"/>
  <c r="B56" i="31"/>
  <c r="A58" i="31" l="1"/>
  <c r="C57" i="31"/>
  <c r="B57" i="31"/>
  <c r="A59" i="31" l="1"/>
  <c r="C58" i="31"/>
  <c r="B58" i="31"/>
  <c r="A60" i="31" l="1"/>
  <c r="C59" i="31"/>
  <c r="B59" i="31"/>
  <c r="A61" i="31" l="1"/>
  <c r="B60" i="31"/>
  <c r="C60" i="31"/>
  <c r="A62" i="31" l="1"/>
  <c r="B61" i="31"/>
  <c r="C61" i="31"/>
  <c r="A63" i="31" l="1"/>
  <c r="B62" i="31"/>
  <c r="C62" i="31"/>
  <c r="A64" i="31" l="1"/>
  <c r="C63" i="31"/>
  <c r="B63" i="31"/>
  <c r="A65" i="31" l="1"/>
  <c r="C64" i="31"/>
  <c r="B64" i="31"/>
  <c r="A66" i="31" l="1"/>
  <c r="C65" i="31"/>
  <c r="B65" i="31"/>
  <c r="A67" i="31" l="1"/>
  <c r="C66" i="31"/>
  <c r="B66" i="31"/>
  <c r="A68" i="31" l="1"/>
  <c r="B67" i="31"/>
  <c r="C67" i="31"/>
  <c r="A69" i="31" l="1"/>
  <c r="A70" i="31" s="1"/>
  <c r="B68" i="31"/>
  <c r="C68" i="31"/>
  <c r="A71" i="31" l="1"/>
  <c r="B70" i="31"/>
  <c r="C70" i="31"/>
  <c r="B69" i="31"/>
  <c r="C69" i="31"/>
  <c r="A72" i="31" l="1"/>
  <c r="B71" i="31"/>
  <c r="C71" i="31"/>
  <c r="A73" i="31" l="1"/>
  <c r="C72" i="31"/>
  <c r="B72" i="31"/>
  <c r="A74" i="31" l="1"/>
  <c r="C73" i="31"/>
  <c r="B73" i="31"/>
  <c r="C74" i="31" l="1"/>
  <c r="B74" i="31"/>
  <c r="A75" i="31"/>
  <c r="B75" i="31" l="1"/>
  <c r="C75" i="31"/>
  <c r="A76" i="31"/>
  <c r="C76" i="31" l="1"/>
  <c r="A77" i="31"/>
  <c r="B76" i="31"/>
  <c r="B77" i="31" l="1"/>
  <c r="C77" i="31"/>
  <c r="A78" i="31"/>
  <c r="B78" i="31" l="1"/>
  <c r="C78" i="31"/>
  <c r="A79" i="31"/>
  <c r="C79" i="31" l="1"/>
  <c r="A80" i="31"/>
  <c r="B79" i="31"/>
  <c r="A81" i="31" l="1"/>
  <c r="B80" i="31"/>
  <c r="C80" i="31"/>
  <c r="C81" i="31" l="1"/>
  <c r="B81" i="31"/>
  <c r="A82" i="31"/>
  <c r="B82" i="31" l="1"/>
  <c r="C82" i="31"/>
  <c r="A83" i="31"/>
  <c r="A84" i="31" l="1"/>
  <c r="B83" i="31"/>
  <c r="C83" i="31"/>
  <c r="C84" i="31" l="1"/>
  <c r="A85" i="3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B84" i="31"/>
  <c r="B85" i="31" l="1"/>
  <c r="C85" i="31"/>
  <c r="B86" i="31" l="1"/>
  <c r="C86" i="31"/>
  <c r="B87" i="31" l="1"/>
  <c r="C87" i="31"/>
  <c r="C88" i="31" l="1"/>
  <c r="B88" i="31"/>
  <c r="C89" i="31" l="1"/>
  <c r="B89" i="31"/>
  <c r="B90" i="31" l="1"/>
  <c r="C90" i="31"/>
  <c r="B91" i="31" l="1"/>
  <c r="C91" i="31"/>
  <c r="B92" i="31" l="1"/>
  <c r="C92" i="31"/>
  <c r="C93" i="31" l="1"/>
  <c r="B93" i="31"/>
  <c r="B94" i="31" l="1"/>
  <c r="C94" i="31"/>
  <c r="B95" i="31" l="1"/>
  <c r="C95" i="31"/>
  <c r="C96" i="31" l="1"/>
  <c r="B96" i="31"/>
  <c r="B97" i="31" l="1"/>
  <c r="C97" i="31"/>
  <c r="B98" i="31" l="1"/>
  <c r="C98" i="31"/>
  <c r="C99" i="31" l="1"/>
  <c r="B99" i="31"/>
  <c r="B100" i="31" l="1"/>
  <c r="C100" i="31"/>
</calcChain>
</file>

<file path=xl/sharedStrings.xml><?xml version="1.0" encoding="utf-8"?>
<sst xmlns="http://schemas.openxmlformats.org/spreadsheetml/2006/main" count="1223" uniqueCount="395">
  <si>
    <t>History</t>
    <phoneticPr fontId="4" type="noConversion"/>
  </si>
  <si>
    <t>Gain     (Target)</t>
    <phoneticPr fontId="6" type="noConversion"/>
  </si>
  <si>
    <t>normal</t>
    <phoneticPr fontId="4" type="noConversion"/>
  </si>
  <si>
    <t>1</t>
    <phoneticPr fontId="4" type="noConversion"/>
  </si>
  <si>
    <t>mirror enable</t>
    <phoneticPr fontId="4" type="noConversion"/>
  </si>
  <si>
    <t>0</t>
    <phoneticPr fontId="4" type="noConversion"/>
  </si>
  <si>
    <t>R3821[2]</t>
    <phoneticPr fontId="4" type="noConversion"/>
  </si>
  <si>
    <t>flip enable</t>
    <phoneticPr fontId="4" type="noConversion"/>
  </si>
  <si>
    <t>R3820[2]</t>
    <phoneticPr fontId="4" type="noConversion"/>
  </si>
  <si>
    <t>If you want to change Mirror/Flip, please contact your local OV FAE.</t>
    <phoneticPr fontId="4" type="noConversion"/>
  </si>
  <si>
    <t>description</t>
    <phoneticPr fontId="4" type="noConversion"/>
  </si>
  <si>
    <t>value</t>
    <phoneticPr fontId="4" type="noConversion"/>
  </si>
  <si>
    <t>register</t>
    <phoneticPr fontId="4" type="noConversion"/>
  </si>
  <si>
    <t>Mirror &amp; Flip</t>
    <phoneticPr fontId="4" type="noConversion"/>
  </si>
  <si>
    <t>master mode</t>
  </si>
  <si>
    <t>slave mode</t>
  </si>
  <si>
    <t>3002</t>
  </si>
  <si>
    <t>3009</t>
  </si>
  <si>
    <t>00</t>
  </si>
  <si>
    <t>3841</t>
  </si>
  <si>
    <t>381a</t>
  </si>
  <si>
    <t>381b</t>
  </si>
  <si>
    <t>381c</t>
  </si>
  <si>
    <t>381d</t>
  </si>
  <si>
    <t>381e</t>
  </si>
  <si>
    <t>381f</t>
  </si>
  <si>
    <t>00</t>
    <phoneticPr fontId="4" type="noConversion"/>
  </si>
  <si>
    <t xml:space="preserve"> </t>
    <phoneticPr fontId="4" type="noConversion"/>
  </si>
  <si>
    <t xml:space="preserve"> </t>
    <phoneticPr fontId="4" type="noConversion"/>
  </si>
  <si>
    <t>exposure[7:0]</t>
    <phoneticPr fontId="4" type="noConversion"/>
  </si>
  <si>
    <t>exposure[15:8]</t>
    <phoneticPr fontId="4" type="noConversion"/>
  </si>
  <si>
    <t>exposure[23:16]</t>
    <phoneticPr fontId="4" type="noConversion"/>
  </si>
  <si>
    <t>description</t>
    <phoneticPr fontId="4" type="noConversion"/>
  </si>
  <si>
    <t>register</t>
    <phoneticPr fontId="4" type="noConversion"/>
  </si>
  <si>
    <t>Gain table</t>
    <phoneticPr fontId="4" type="noConversion"/>
  </si>
  <si>
    <t>00</t>
    <phoneticPr fontId="10"/>
  </si>
  <si>
    <t>V1.0 first release</t>
    <phoneticPr fontId="4" type="noConversion"/>
  </si>
  <si>
    <t>[2] pull down d_fsin_in_o</t>
    <phoneticPr fontId="4" type="noConversion"/>
  </si>
  <si>
    <t>N of VTS-N sync point</t>
    <phoneticPr fontId="10"/>
  </si>
  <si>
    <t>08</t>
    <phoneticPr fontId="10"/>
  </si>
  <si>
    <t>[2] pull down d_fsin_in_o</t>
    <phoneticPr fontId="4" type="noConversion"/>
  </si>
  <si>
    <t>vsync V rise,vsync rise veritcal position;</t>
    <phoneticPr fontId="6" type="noConversion"/>
  </si>
  <si>
    <t>00</t>
    <phoneticPr fontId="16"/>
  </si>
  <si>
    <t>vsync H rise; vsync rise horizontal position</t>
    <phoneticPr fontId="6" type="noConversion"/>
  </si>
  <si>
    <t>vsync width</t>
    <phoneticPr fontId="6" type="noConversion"/>
  </si>
  <si>
    <t>3835</t>
    <phoneticPr fontId="10"/>
  </si>
  <si>
    <t>3836</t>
    <phoneticPr fontId="10"/>
  </si>
  <si>
    <t>10</t>
    <phoneticPr fontId="10"/>
  </si>
  <si>
    <t>Fsin disable</t>
    <phoneticPr fontId="6" type="noConversion"/>
  </si>
  <si>
    <t>3009</t>
    <phoneticPr fontId="4" type="noConversion"/>
  </si>
  <si>
    <t>04</t>
    <phoneticPr fontId="4" type="noConversion"/>
  </si>
  <si>
    <t>2023.02.06</t>
    <phoneticPr fontId="4" type="noConversion"/>
  </si>
  <si>
    <t>R3508</t>
  </si>
  <si>
    <t>R3508</t>
    <phoneticPr fontId="6" type="noConversion"/>
  </si>
  <si>
    <t>R3509</t>
  </si>
  <si>
    <t>R3509</t>
    <phoneticPr fontId="6" type="noConversion"/>
  </si>
  <si>
    <t>Max.Exposure:</t>
    <phoneticPr fontId="6" type="noConversion"/>
  </si>
  <si>
    <t>Min.Exposure:</t>
    <phoneticPr fontId="6" type="noConversion"/>
  </si>
  <si>
    <t>VTS-31 rows</t>
    <phoneticPr fontId="6" type="noConversion"/>
  </si>
  <si>
    <t>Format</t>
    <phoneticPr fontId="6" type="noConversion"/>
  </si>
  <si>
    <t>1unit of R3500~R3502</t>
    <phoneticPr fontId="6" type="noConversion"/>
  </si>
  <si>
    <t>Tline</t>
    <phoneticPr fontId="6" type="noConversion"/>
  </si>
  <si>
    <t>4096x3072</t>
    <phoneticPr fontId="6" type="noConversion"/>
  </si>
  <si>
    <t>Expo.step</t>
    <phoneticPr fontId="6" type="noConversion"/>
  </si>
  <si>
    <t>0.5Tline</t>
    <phoneticPr fontId="6" type="noConversion"/>
  </si>
  <si>
    <t>4096x3072 sHDR</t>
    <phoneticPr fontId="6" type="noConversion"/>
  </si>
  <si>
    <t>1Tline</t>
    <phoneticPr fontId="6" type="noConversion"/>
  </si>
  <si>
    <t>1080P</t>
    <phoneticPr fontId="6" type="noConversion"/>
  </si>
  <si>
    <t>1080P with PD</t>
    <phoneticPr fontId="6" type="noConversion"/>
  </si>
  <si>
    <t xml:space="preserve">HTS / SCLK </t>
    <phoneticPr fontId="6" type="noConversion"/>
  </si>
  <si>
    <t>HTS / SCLK  * 2</t>
    <phoneticPr fontId="6" type="noConversion"/>
  </si>
  <si>
    <t xml:space="preserve">Exposure </t>
    <phoneticPr fontId="4" type="noConversion"/>
  </si>
  <si>
    <t>Dual camera control</t>
    <phoneticPr fontId="4" type="noConversion"/>
  </si>
  <si>
    <t>Vsync output via Vsync pad</t>
    <phoneticPr fontId="6" type="noConversion"/>
  </si>
  <si>
    <t>[7]=1 oen or vsync out enable</t>
    <phoneticPr fontId="6" type="noConversion"/>
  </si>
  <si>
    <t>08</t>
    <phoneticPr fontId="4" type="noConversion"/>
  </si>
  <si>
    <t>08</t>
    <phoneticPr fontId="10"/>
  </si>
  <si>
    <t>08</t>
    <phoneticPr fontId="16"/>
  </si>
  <si>
    <t>382e</t>
    <phoneticPr fontId="10"/>
  </si>
  <si>
    <t>[5:4] VSYNC_sel = 00</t>
    <phoneticPr fontId="6" type="noConversion"/>
  </si>
  <si>
    <r>
      <rPr>
        <sz val="11"/>
        <color theme="1"/>
        <rFont val="ＭＳ Ｐゴシック"/>
        <family val="3"/>
        <charset val="128"/>
      </rPr>
      <t>　　</t>
    </r>
    <r>
      <rPr>
        <sz val="11"/>
        <color theme="1"/>
        <rFont val="Arial"/>
        <family val="2"/>
      </rPr>
      <t>*1 : Polarity control by R385b[3]</t>
    </r>
    <phoneticPr fontId="10"/>
  </si>
  <si>
    <t>Vsync disable via Vsync pad</t>
    <phoneticPr fontId="10"/>
  </si>
  <si>
    <t>80</t>
    <phoneticPr fontId="10"/>
  </si>
  <si>
    <t>[7]  disable</t>
    <phoneticPr fontId="4" type="noConversion"/>
  </si>
  <si>
    <t>Vsync output via FSIN pad</t>
    <phoneticPr fontId="6" type="noConversion"/>
  </si>
  <si>
    <t>[3]=1 oen FISN out enable</t>
    <phoneticPr fontId="6" type="noConversion"/>
  </si>
  <si>
    <t>3008</t>
    <phoneticPr fontId="10"/>
  </si>
  <si>
    <t>00</t>
    <phoneticPr fontId="10"/>
  </si>
  <si>
    <t>[3]=0</t>
    <phoneticPr fontId="10"/>
  </si>
  <si>
    <t>3844</t>
    <phoneticPr fontId="10"/>
  </si>
  <si>
    <t>385c</t>
    <phoneticPr fontId="10"/>
  </si>
  <si>
    <t>385d</t>
    <phoneticPr fontId="10"/>
  </si>
  <si>
    <t>385e</t>
    <phoneticPr fontId="10"/>
  </si>
  <si>
    <t>385f</t>
    <phoneticPr fontId="10"/>
  </si>
  <si>
    <t>3863</t>
    <phoneticPr fontId="10"/>
  </si>
  <si>
    <t>3864</t>
    <phoneticPr fontId="10"/>
  </si>
  <si>
    <t>[5:4]expo_sel = 00</t>
    <phoneticPr fontId="6" type="noConversion"/>
  </si>
  <si>
    <r>
      <rPr>
        <sz val="11"/>
        <color theme="1"/>
        <rFont val="ＭＳ Ｐゴシック"/>
        <family val="3"/>
        <charset val="128"/>
      </rPr>
      <t>　　</t>
    </r>
    <r>
      <rPr>
        <sz val="11"/>
        <color theme="1"/>
        <rFont val="Arial"/>
        <family val="2"/>
      </rPr>
      <t>*1 : Polarity control by R385b[2]</t>
    </r>
    <phoneticPr fontId="10"/>
  </si>
  <si>
    <t>[3]  disable</t>
    <phoneticPr fontId="4" type="noConversion"/>
  </si>
  <si>
    <t>Vsync disable via FSIN pad</t>
    <phoneticPr fontId="10"/>
  </si>
  <si>
    <t>Fsin from FSIN pad</t>
    <phoneticPr fontId="6" type="noConversion"/>
  </si>
  <si>
    <t>3865</t>
    <phoneticPr fontId="10"/>
  </si>
  <si>
    <t>40</t>
    <phoneticPr fontId="10"/>
  </si>
  <si>
    <t>[6] fix_rcnt_en</t>
    <phoneticPr fontId="4" type="noConversion"/>
  </si>
  <si>
    <t>382a</t>
    <phoneticPr fontId="10"/>
  </si>
  <si>
    <t>bb</t>
    <phoneticPr fontId="16"/>
  </si>
  <si>
    <t>[3]vts_auto_adj_en</t>
    <phoneticPr fontId="4" type="noConversion"/>
  </si>
  <si>
    <t>3834</t>
    <phoneticPr fontId="10"/>
  </si>
  <si>
    <t>3843</t>
    <phoneticPr fontId="10"/>
  </si>
  <si>
    <t>3824</t>
    <phoneticPr fontId="10"/>
  </si>
  <si>
    <t>3825</t>
    <phoneticPr fontId="10"/>
  </si>
  <si>
    <t>56</t>
    <phoneticPr fontId="16"/>
  </si>
  <si>
    <t>382e</t>
    <phoneticPr fontId="10"/>
  </si>
  <si>
    <t>[7:6]sync. By L frame</t>
    <phoneticPr fontId="10"/>
  </si>
  <si>
    <t>3865</t>
    <phoneticPr fontId="4" type="noConversion"/>
  </si>
  <si>
    <t>HTS/2</t>
    <phoneticPr fontId="4" type="noConversion"/>
  </si>
  <si>
    <t>3690</t>
    <phoneticPr fontId="10"/>
  </si>
  <si>
    <t>[3]=1 select VSYNC pad</t>
    <phoneticPr fontId="4" type="noConversion"/>
  </si>
  <si>
    <t>Fsin from VSYNC pad</t>
    <phoneticPr fontId="6" type="noConversion"/>
  </si>
  <si>
    <t>3690</t>
    <phoneticPr fontId="4" type="noConversion"/>
  </si>
  <si>
    <t>fsin pad disable</t>
    <phoneticPr fontId="4" type="noConversion"/>
  </si>
  <si>
    <t>H_Block Size</t>
    <phoneticPr fontId="24" type="noConversion"/>
  </si>
  <si>
    <t>V_Block Size</t>
    <phoneticPr fontId="24" type="noConversion"/>
  </si>
  <si>
    <t>H_PD_PixelCountPerBlock</t>
    <phoneticPr fontId="24" type="noConversion"/>
  </si>
  <si>
    <t>V_PD_PixelCountPerBlock</t>
    <phoneticPr fontId="24" type="noConversion"/>
  </si>
  <si>
    <t>Image_width</t>
    <phoneticPr fontId="24" type="noConversion"/>
  </si>
  <si>
    <t>Image_heigth</t>
    <phoneticPr fontId="24" type="noConversion"/>
  </si>
  <si>
    <t>PD_width</t>
    <phoneticPr fontId="24" type="noConversion"/>
  </si>
  <si>
    <t>PD_heigth</t>
    <phoneticPr fontId="24" type="noConversion"/>
  </si>
  <si>
    <t>H_offset</t>
    <phoneticPr fontId="24" type="noConversion"/>
  </si>
  <si>
    <t>V_offset</t>
    <phoneticPr fontId="24" type="noConversion"/>
  </si>
  <si>
    <t>H_block number</t>
    <phoneticPr fontId="24" type="noConversion"/>
  </si>
  <si>
    <t>V_block number</t>
    <phoneticPr fontId="24" type="noConversion"/>
  </si>
  <si>
    <t>Data Sequence</t>
    <phoneticPr fontId="24" type="noConversion"/>
  </si>
  <si>
    <t>PD MAP</t>
    <phoneticPr fontId="24" type="noConversion"/>
  </si>
  <si>
    <t>Active Image</t>
    <phoneticPr fontId="24" type="noConversion"/>
  </si>
  <si>
    <t>PD image</t>
    <phoneticPr fontId="24" type="noConversion"/>
  </si>
  <si>
    <t>Normal</t>
    <phoneticPr fontId="24" type="noConversion"/>
  </si>
  <si>
    <t>…</t>
    <phoneticPr fontId="24" type="noConversion"/>
  </si>
  <si>
    <t>Index</t>
    <phoneticPr fontId="24" type="noConversion"/>
  </si>
  <si>
    <t>L</t>
    <phoneticPr fontId="24" type="noConversion"/>
  </si>
  <si>
    <t>R</t>
    <phoneticPr fontId="24" type="noConversion"/>
  </si>
  <si>
    <t>B</t>
    <phoneticPr fontId="24" type="noConversion"/>
  </si>
  <si>
    <t>G</t>
    <phoneticPr fontId="24" type="noConversion"/>
  </si>
  <si>
    <t>… …</t>
    <phoneticPr fontId="24" type="noConversion"/>
  </si>
  <si>
    <t>Dummy</t>
    <phoneticPr fontId="24" type="noConversion"/>
  </si>
  <si>
    <t>Sensor Native</t>
    <phoneticPr fontId="24" type="noConversion"/>
  </si>
  <si>
    <t>Buffer Block</t>
    <phoneticPr fontId="24" type="noConversion"/>
  </si>
  <si>
    <r>
      <t>L</t>
    </r>
    <r>
      <rPr>
        <b/>
        <vertAlign val="subscript"/>
        <sz val="11"/>
        <rFont val="等线"/>
        <family val="3"/>
        <charset val="134"/>
      </rPr>
      <t>0</t>
    </r>
    <phoneticPr fontId="24" type="noConversion"/>
  </si>
  <si>
    <r>
      <t>R</t>
    </r>
    <r>
      <rPr>
        <b/>
        <vertAlign val="subscript"/>
        <sz val="11"/>
        <rFont val="等线"/>
        <family val="3"/>
        <charset val="134"/>
      </rPr>
      <t>0</t>
    </r>
    <phoneticPr fontId="24" type="noConversion"/>
  </si>
  <si>
    <r>
      <t>L</t>
    </r>
    <r>
      <rPr>
        <b/>
        <vertAlign val="subscript"/>
        <sz val="11"/>
        <rFont val="等线"/>
        <family val="3"/>
        <charset val="134"/>
      </rPr>
      <t>1</t>
    </r>
    <phoneticPr fontId="24" type="noConversion"/>
  </si>
  <si>
    <r>
      <t>R</t>
    </r>
    <r>
      <rPr>
        <b/>
        <vertAlign val="subscript"/>
        <sz val="11"/>
        <rFont val="等线"/>
        <family val="3"/>
        <charset val="134"/>
      </rPr>
      <t>1</t>
    </r>
    <phoneticPr fontId="24" type="noConversion"/>
  </si>
  <si>
    <r>
      <t>L</t>
    </r>
    <r>
      <rPr>
        <b/>
        <vertAlign val="subscript"/>
        <sz val="11"/>
        <color theme="1"/>
        <rFont val="等线"/>
        <family val="3"/>
        <charset val="134"/>
      </rPr>
      <t>0</t>
    </r>
    <phoneticPr fontId="24" type="noConversion"/>
  </si>
  <si>
    <r>
      <t>R</t>
    </r>
    <r>
      <rPr>
        <b/>
        <vertAlign val="subscript"/>
        <sz val="11"/>
        <color theme="1"/>
        <rFont val="等线"/>
        <family val="3"/>
        <charset val="134"/>
      </rPr>
      <t>0</t>
    </r>
    <phoneticPr fontId="24" type="noConversion"/>
  </si>
  <si>
    <r>
      <t>L</t>
    </r>
    <r>
      <rPr>
        <b/>
        <vertAlign val="subscript"/>
        <sz val="11"/>
        <color theme="1"/>
        <rFont val="等线"/>
        <family val="3"/>
        <charset val="134"/>
      </rPr>
      <t>1</t>
    </r>
    <phoneticPr fontId="24" type="noConversion"/>
  </si>
  <si>
    <r>
      <t>R</t>
    </r>
    <r>
      <rPr>
        <b/>
        <vertAlign val="subscript"/>
        <sz val="11"/>
        <color theme="1"/>
        <rFont val="等线"/>
        <family val="3"/>
        <charset val="134"/>
      </rPr>
      <t>1</t>
    </r>
    <phoneticPr fontId="24" type="noConversion"/>
  </si>
  <si>
    <t>x</t>
    <phoneticPr fontId="24" type="noConversion"/>
  </si>
  <si>
    <t>y</t>
    <phoneticPr fontId="24" type="noConversion"/>
  </si>
  <si>
    <r>
      <t>L</t>
    </r>
    <r>
      <rPr>
        <b/>
        <vertAlign val="subscript"/>
        <sz val="11"/>
        <rFont val="等线"/>
        <family val="3"/>
        <charset val="134"/>
      </rPr>
      <t>2</t>
    </r>
    <phoneticPr fontId="24" type="noConversion"/>
  </si>
  <si>
    <r>
      <t>R</t>
    </r>
    <r>
      <rPr>
        <b/>
        <vertAlign val="subscript"/>
        <sz val="11"/>
        <rFont val="等线"/>
        <family val="3"/>
        <charset val="134"/>
      </rPr>
      <t>2</t>
    </r>
    <phoneticPr fontId="24" type="noConversion"/>
  </si>
  <si>
    <r>
      <t>L</t>
    </r>
    <r>
      <rPr>
        <b/>
        <vertAlign val="subscript"/>
        <sz val="11"/>
        <rFont val="等线"/>
        <family val="3"/>
        <charset val="134"/>
      </rPr>
      <t>3</t>
    </r>
    <phoneticPr fontId="24" type="noConversion"/>
  </si>
  <si>
    <r>
      <t>R</t>
    </r>
    <r>
      <rPr>
        <b/>
        <vertAlign val="subscript"/>
        <sz val="11"/>
        <rFont val="等线"/>
        <family val="3"/>
        <charset val="134"/>
      </rPr>
      <t>3</t>
    </r>
    <phoneticPr fontId="24" type="noConversion"/>
  </si>
  <si>
    <r>
      <t>L</t>
    </r>
    <r>
      <rPr>
        <b/>
        <vertAlign val="subscript"/>
        <sz val="11"/>
        <color theme="1"/>
        <rFont val="等线"/>
        <family val="3"/>
        <charset val="134"/>
      </rPr>
      <t>2</t>
    </r>
    <phoneticPr fontId="24" type="noConversion"/>
  </si>
  <si>
    <r>
      <t>R</t>
    </r>
    <r>
      <rPr>
        <b/>
        <vertAlign val="subscript"/>
        <sz val="11"/>
        <color theme="1"/>
        <rFont val="等线"/>
        <family val="3"/>
        <charset val="134"/>
      </rPr>
      <t>2</t>
    </r>
    <phoneticPr fontId="24" type="noConversion"/>
  </si>
  <si>
    <r>
      <t>L</t>
    </r>
    <r>
      <rPr>
        <b/>
        <vertAlign val="subscript"/>
        <sz val="11"/>
        <color theme="1"/>
        <rFont val="等线"/>
        <family val="3"/>
        <charset val="134"/>
      </rPr>
      <t>3</t>
    </r>
    <phoneticPr fontId="24" type="noConversion"/>
  </si>
  <si>
    <r>
      <t>R</t>
    </r>
    <r>
      <rPr>
        <b/>
        <vertAlign val="subscript"/>
        <sz val="11"/>
        <color theme="1"/>
        <rFont val="等线"/>
        <family val="3"/>
        <charset val="134"/>
      </rPr>
      <t>3</t>
    </r>
    <phoneticPr fontId="24" type="noConversion"/>
  </si>
  <si>
    <r>
      <t>L</t>
    </r>
    <r>
      <rPr>
        <b/>
        <vertAlign val="subscript"/>
        <sz val="11"/>
        <rFont val="等线"/>
        <family val="3"/>
        <charset val="134"/>
      </rPr>
      <t>4</t>
    </r>
    <phoneticPr fontId="24" type="noConversion"/>
  </si>
  <si>
    <r>
      <t>R</t>
    </r>
    <r>
      <rPr>
        <b/>
        <vertAlign val="subscript"/>
        <sz val="11"/>
        <rFont val="等线"/>
        <family val="3"/>
        <charset val="134"/>
      </rPr>
      <t>4</t>
    </r>
    <phoneticPr fontId="24" type="noConversion"/>
  </si>
  <si>
    <r>
      <t>L</t>
    </r>
    <r>
      <rPr>
        <b/>
        <vertAlign val="subscript"/>
        <sz val="11"/>
        <rFont val="等线"/>
        <family val="3"/>
        <charset val="134"/>
      </rPr>
      <t>5</t>
    </r>
    <phoneticPr fontId="24" type="noConversion"/>
  </si>
  <si>
    <r>
      <t>R</t>
    </r>
    <r>
      <rPr>
        <b/>
        <vertAlign val="subscript"/>
        <sz val="11"/>
        <rFont val="等线"/>
        <family val="3"/>
        <charset val="134"/>
      </rPr>
      <t>5</t>
    </r>
    <phoneticPr fontId="24" type="noConversion"/>
  </si>
  <si>
    <r>
      <t>L</t>
    </r>
    <r>
      <rPr>
        <b/>
        <vertAlign val="subscript"/>
        <sz val="11"/>
        <color theme="1"/>
        <rFont val="等线"/>
        <family val="3"/>
        <charset val="134"/>
      </rPr>
      <t>4</t>
    </r>
    <phoneticPr fontId="24" type="noConversion"/>
  </si>
  <si>
    <r>
      <t>R</t>
    </r>
    <r>
      <rPr>
        <b/>
        <vertAlign val="subscript"/>
        <sz val="11"/>
        <color theme="1"/>
        <rFont val="等线"/>
        <family val="3"/>
        <charset val="134"/>
      </rPr>
      <t>4</t>
    </r>
    <phoneticPr fontId="24" type="noConversion"/>
  </si>
  <si>
    <r>
      <t>L</t>
    </r>
    <r>
      <rPr>
        <b/>
        <vertAlign val="subscript"/>
        <sz val="11"/>
        <color theme="1"/>
        <rFont val="等线"/>
        <family val="3"/>
        <charset val="134"/>
      </rPr>
      <t>5</t>
    </r>
    <phoneticPr fontId="24" type="noConversion"/>
  </si>
  <si>
    <r>
      <t>R</t>
    </r>
    <r>
      <rPr>
        <b/>
        <vertAlign val="subscript"/>
        <sz val="11"/>
        <color theme="1"/>
        <rFont val="等线"/>
        <family val="3"/>
        <charset val="134"/>
      </rPr>
      <t>5</t>
    </r>
    <phoneticPr fontId="24" type="noConversion"/>
  </si>
  <si>
    <r>
      <t>L</t>
    </r>
    <r>
      <rPr>
        <b/>
        <vertAlign val="subscript"/>
        <sz val="11"/>
        <rFont val="等线"/>
        <family val="3"/>
        <charset val="134"/>
      </rPr>
      <t>6</t>
    </r>
    <phoneticPr fontId="24" type="noConversion"/>
  </si>
  <si>
    <r>
      <t>R</t>
    </r>
    <r>
      <rPr>
        <b/>
        <vertAlign val="subscript"/>
        <sz val="11"/>
        <rFont val="等线"/>
        <family val="3"/>
        <charset val="134"/>
      </rPr>
      <t>6</t>
    </r>
    <phoneticPr fontId="24" type="noConversion"/>
  </si>
  <si>
    <r>
      <t>L</t>
    </r>
    <r>
      <rPr>
        <b/>
        <vertAlign val="subscript"/>
        <sz val="11"/>
        <rFont val="等线"/>
        <family val="3"/>
        <charset val="134"/>
      </rPr>
      <t>7</t>
    </r>
    <phoneticPr fontId="24" type="noConversion"/>
  </si>
  <si>
    <r>
      <t>R</t>
    </r>
    <r>
      <rPr>
        <b/>
        <vertAlign val="subscript"/>
        <sz val="11"/>
        <rFont val="等线"/>
        <family val="3"/>
        <charset val="134"/>
      </rPr>
      <t>7</t>
    </r>
    <phoneticPr fontId="24" type="noConversion"/>
  </si>
  <si>
    <r>
      <t>L</t>
    </r>
    <r>
      <rPr>
        <b/>
        <vertAlign val="subscript"/>
        <sz val="11"/>
        <color theme="1"/>
        <rFont val="等线"/>
        <family val="3"/>
        <charset val="134"/>
      </rPr>
      <t>6</t>
    </r>
    <phoneticPr fontId="24" type="noConversion"/>
  </si>
  <si>
    <r>
      <t>R</t>
    </r>
    <r>
      <rPr>
        <b/>
        <vertAlign val="subscript"/>
        <sz val="11"/>
        <color theme="1"/>
        <rFont val="等线"/>
        <family val="3"/>
        <charset val="134"/>
      </rPr>
      <t>6</t>
    </r>
    <phoneticPr fontId="24" type="noConversion"/>
  </si>
  <si>
    <r>
      <t>L</t>
    </r>
    <r>
      <rPr>
        <b/>
        <vertAlign val="subscript"/>
        <sz val="11"/>
        <color theme="1"/>
        <rFont val="等线"/>
        <family val="3"/>
        <charset val="134"/>
      </rPr>
      <t>7</t>
    </r>
    <phoneticPr fontId="24" type="noConversion"/>
  </si>
  <si>
    <r>
      <t>R</t>
    </r>
    <r>
      <rPr>
        <b/>
        <vertAlign val="subscript"/>
        <sz val="11"/>
        <color theme="1"/>
        <rFont val="等线"/>
        <family val="3"/>
        <charset val="134"/>
      </rPr>
      <t>7</t>
    </r>
    <phoneticPr fontId="24" type="noConversion"/>
  </si>
  <si>
    <t>Mirror&amp;Flip</t>
    <phoneticPr fontId="24" type="noConversion"/>
  </si>
  <si>
    <t>NOTE FOR 4CBINNING MODE</t>
    <phoneticPr fontId="24" type="noConversion"/>
  </si>
  <si>
    <t>Due to sensor limitation,the max.PD H size is 992,so the PD area is 3968x3040. H offset is 64, V offset is 16. Block starts at (64,16).</t>
    <phoneticPr fontId="4" type="noConversion"/>
  </si>
  <si>
    <t>64+5</t>
    <phoneticPr fontId="4" type="noConversion"/>
  </si>
  <si>
    <t>64+13</t>
    <phoneticPr fontId="4" type="noConversion"/>
  </si>
  <si>
    <t>64+9</t>
    <phoneticPr fontId="4" type="noConversion"/>
  </si>
  <si>
    <t>16+2</t>
    <phoneticPr fontId="4" type="noConversion"/>
  </si>
  <si>
    <t>16+6</t>
    <phoneticPr fontId="4" type="noConversion"/>
  </si>
  <si>
    <t>16+10</t>
    <phoneticPr fontId="4" type="noConversion"/>
  </si>
  <si>
    <t>16+14</t>
    <phoneticPr fontId="4" type="noConversion"/>
  </si>
  <si>
    <t>64+6</t>
    <phoneticPr fontId="4" type="noConversion"/>
  </si>
  <si>
    <t>64+14</t>
    <phoneticPr fontId="4" type="noConversion"/>
  </si>
  <si>
    <t>64+3</t>
    <phoneticPr fontId="4" type="noConversion"/>
  </si>
  <si>
    <t>64+10</t>
    <phoneticPr fontId="4" type="noConversion"/>
  </si>
  <si>
    <t>64+1</t>
    <phoneticPr fontId="4" type="noConversion"/>
  </si>
  <si>
    <t>16+1</t>
    <phoneticPr fontId="4" type="noConversion"/>
  </si>
  <si>
    <t>16+5</t>
    <phoneticPr fontId="4" type="noConversion"/>
  </si>
  <si>
    <t>16+9</t>
    <phoneticPr fontId="4" type="noConversion"/>
  </si>
  <si>
    <t>16+13</t>
    <phoneticPr fontId="4" type="noConversion"/>
  </si>
  <si>
    <r>
      <t>4C binning mode</t>
    </r>
    <r>
      <rPr>
        <sz val="22"/>
        <color theme="1"/>
        <rFont val="等线"/>
        <family val="3"/>
        <charset val="134"/>
      </rPr>
      <t>(ImageSize:4096x3072, PDSize:992x760)</t>
    </r>
    <phoneticPr fontId="24" type="noConversion"/>
  </si>
  <si>
    <t>Note: pd x_output is 992, vc packetage is 496（=R4641*16),so need 2 packetage to transfer</t>
    <phoneticPr fontId="24" type="noConversion"/>
  </si>
  <si>
    <t>PD map</t>
    <phoneticPr fontId="4" type="noConversion"/>
  </si>
  <si>
    <t>PD control</t>
    <phoneticPr fontId="4" type="noConversion"/>
  </si>
  <si>
    <t>Notes:</t>
    <phoneticPr fontId="4" type="noConversion"/>
  </si>
  <si>
    <t>PDAF data output : MIPI virtual channel</t>
    <phoneticPr fontId="4" type="noConversion"/>
  </si>
  <si>
    <t>R3684[0] = 1; enable PD output timing</t>
    <phoneticPr fontId="4" type="noConversion"/>
  </si>
  <si>
    <t>{R4640,R4641} * 16: one package Max. PD pixel number.</t>
    <phoneticPr fontId="4" type="noConversion"/>
  </si>
  <si>
    <t>1.The OV50D array can only output 4C binned image, hence no 2x2 MLPD output, only 2x1 MLPD</t>
    <phoneticPr fontId="4" type="noConversion"/>
  </si>
  <si>
    <t>R3699[5:0] is PD data type, set 0x19 for DT mode</t>
    <phoneticPr fontId="4" type="noConversion"/>
  </si>
  <si>
    <t>R4813[1:0] is VC0 value.</t>
    <phoneticPr fontId="4" type="noConversion"/>
  </si>
  <si>
    <t>R4813[3:2] is VC1 value.</t>
    <phoneticPr fontId="4" type="noConversion"/>
  </si>
  <si>
    <t>R4813[3:0] = 0x4 mean image in VC0, PD in VC1.</t>
    <phoneticPr fontId="4" type="noConversion"/>
  </si>
  <si>
    <t>R4813[3:0] = 0x1 mean PD in VC0 and image in VC1.</t>
    <phoneticPr fontId="4" type="noConversion"/>
  </si>
  <si>
    <t>Real gain in Sensor</t>
  </si>
  <si>
    <t>Set Gain</t>
  </si>
  <si>
    <t>input</t>
    <phoneticPr fontId="6" type="noConversion"/>
  </si>
  <si>
    <t>from setting</t>
    <phoneticPr fontId="6" type="noConversion"/>
  </si>
  <si>
    <t>output</t>
    <phoneticPr fontId="6" type="noConversion"/>
  </si>
  <si>
    <t>System Clock (Mhz)</t>
  </si>
  <si>
    <t>HTS (HEX, R380c:R380d)</t>
  </si>
  <si>
    <t>tline (us)</t>
  </si>
  <si>
    <t>Line number</t>
    <phoneticPr fontId="6" type="noConversion"/>
  </si>
  <si>
    <t>4096x3072 + 1080P with PD Format</t>
    <phoneticPr fontId="4" type="noConversion"/>
  </si>
  <si>
    <t>1a9</t>
    <phoneticPr fontId="4" type="noConversion"/>
  </si>
  <si>
    <t>4096x3072 sHDR Format</t>
    <phoneticPr fontId="4" type="noConversion"/>
  </si>
  <si>
    <t>1080P Format</t>
    <phoneticPr fontId="4" type="noConversion"/>
  </si>
  <si>
    <t>MCLK:24MHz</t>
  </si>
  <si>
    <t>No.</t>
    <phoneticPr fontId="45"/>
  </si>
  <si>
    <t>mode</t>
    <phoneticPr fontId="4" type="noConversion"/>
  </si>
  <si>
    <t>HDR</t>
    <phoneticPr fontId="45"/>
  </si>
  <si>
    <t>RAW SIZE</t>
  </si>
  <si>
    <t>H ratio</t>
    <phoneticPr fontId="45"/>
  </si>
  <si>
    <t>V ratio</t>
    <phoneticPr fontId="45"/>
  </si>
  <si>
    <t>Total ratio</t>
    <phoneticPr fontId="45"/>
  </si>
  <si>
    <t>Lane</t>
  </si>
  <si>
    <t>DT_FMT</t>
    <phoneticPr fontId="45"/>
  </si>
  <si>
    <t>FPS</t>
    <phoneticPr fontId="45"/>
  </si>
  <si>
    <t>Ana Gain
max.
(code value)</t>
  </si>
  <si>
    <t>Gain Mode</t>
    <phoneticPr fontId="45"/>
  </si>
  <si>
    <t>Sensor internal colock</t>
    <phoneticPr fontId="45"/>
  </si>
  <si>
    <t>HTS</t>
    <phoneticPr fontId="45"/>
  </si>
  <si>
    <t>VTS</t>
    <phoneticPr fontId="45"/>
  </si>
  <si>
    <t>Tline(us)</t>
    <phoneticPr fontId="45"/>
  </si>
  <si>
    <t>H-blank(us)</t>
    <phoneticPr fontId="45"/>
  </si>
  <si>
    <t>V-blank(ms)</t>
    <phoneticPr fontId="45"/>
  </si>
  <si>
    <t>Bayer pattern</t>
    <phoneticPr fontId="45"/>
  </si>
  <si>
    <t>Maximum Exposure</t>
    <phoneticPr fontId="45"/>
  </si>
  <si>
    <t>Minimum Exposure</t>
    <phoneticPr fontId="45"/>
  </si>
  <si>
    <t>Minimum Exposure step</t>
    <phoneticPr fontId="45"/>
  </si>
  <si>
    <t>Mirror/Flip</t>
    <phoneticPr fontId="45"/>
  </si>
  <si>
    <t>PD Resolution</t>
    <phoneticPr fontId="45"/>
  </si>
  <si>
    <t>H</t>
  </si>
  <si>
    <t>V</t>
  </si>
  <si>
    <t>A</t>
    <phoneticPr fontId="45"/>
  </si>
  <si>
    <t>off</t>
    <phoneticPr fontId="45"/>
  </si>
  <si>
    <t>RAW10</t>
    <phoneticPr fontId="45"/>
  </si>
  <si>
    <t>Normal Gain</t>
    <phoneticPr fontId="45"/>
  </si>
  <si>
    <t>BGGR</t>
    <phoneticPr fontId="45"/>
  </si>
  <si>
    <t>normal</t>
    <phoneticPr fontId="45"/>
  </si>
  <si>
    <t>B</t>
    <phoneticPr fontId="45"/>
  </si>
  <si>
    <t>High Giain</t>
    <phoneticPr fontId="45"/>
  </si>
  <si>
    <t>C</t>
    <phoneticPr fontId="45"/>
  </si>
  <si>
    <t>D</t>
    <phoneticPr fontId="45"/>
  </si>
  <si>
    <t>E</t>
    <phoneticPr fontId="45"/>
  </si>
  <si>
    <t>DPHY</t>
    <phoneticPr fontId="45"/>
  </si>
  <si>
    <t>CPHY</t>
    <phoneticPr fontId="45"/>
  </si>
  <si>
    <t>4C1 Binning</t>
    <phoneticPr fontId="45"/>
  </si>
  <si>
    <t xml:space="preserve">DPHY setting list </t>
    <phoneticPr fontId="45"/>
  </si>
  <si>
    <t>Data rate
[Mbps/lane]</t>
    <phoneticPr fontId="45"/>
  </si>
  <si>
    <t>62x</t>
    <phoneticPr fontId="45"/>
  </si>
  <si>
    <t>High Gain</t>
    <phoneticPr fontId="45"/>
  </si>
  <si>
    <t>VTS-31</t>
    <phoneticPr fontId="45"/>
  </si>
  <si>
    <t>992x760</t>
    <phoneticPr fontId="4" type="noConversion"/>
  </si>
  <si>
    <t>2stg</t>
    <phoneticPr fontId="4" type="noConversion"/>
  </si>
  <si>
    <t>15.5x</t>
    <phoneticPr fontId="45"/>
  </si>
  <si>
    <t>4:1</t>
    <phoneticPr fontId="4" type="noConversion"/>
  </si>
  <si>
    <t>960x540</t>
    <phoneticPr fontId="4" type="noConversion"/>
  </si>
  <si>
    <t>`--</t>
    <phoneticPr fontId="4" type="noConversion"/>
  </si>
  <si>
    <t>Based on OV50D40_AE09_DPHY_24Mhz_exp_line_2stp_gain_16stp_20230203.ovd</t>
    <phoneticPr fontId="45"/>
  </si>
  <si>
    <t>Exposure time (ms)</t>
    <phoneticPr fontId="4" type="noConversion"/>
  </si>
  <si>
    <t>Power consumption</t>
    <phoneticPr fontId="4" type="noConversion"/>
  </si>
  <si>
    <t>MCLK characteristics</t>
    <phoneticPr fontId="4" type="noConversion"/>
  </si>
  <si>
    <t>Power Up Sequence</t>
    <phoneticPr fontId="4" type="noConversion"/>
  </si>
  <si>
    <t>Power Down Sequence</t>
    <phoneticPr fontId="4" type="noConversion"/>
  </si>
  <si>
    <t>Power Standby Sequence</t>
    <phoneticPr fontId="4" type="noConversion"/>
  </si>
  <si>
    <t>MIPI DATA RATE</t>
  </si>
  <si>
    <t>Mbps/Msps</t>
  </si>
  <si>
    <t>CPHY INTERFACE</t>
  </si>
  <si>
    <t>(1 for 32 bit interface, 0 for 16 bit interface)</t>
  </si>
  <si>
    <t>DPHY INTERFACE</t>
  </si>
  <si>
    <t>(1 for 16 bit interface, 0 for 8 bit interface)</t>
  </si>
  <si>
    <t>PHY VERSION</t>
  </si>
  <si>
    <t>(1 for PHY version x.x.6.x, 0 for PHY version x.x.7.x) (e.g, OV60A10 PHY version is 16.7.6.2, so need to set to 1, OV50A10 version is 24.7.7.2, need to set to 0)</t>
  </si>
  <si>
    <t>Note: for CPHY/DPHY interface, please confirm with PL for the numbers</t>
  </si>
  <si>
    <t>Note: for PHY version, please confirm with PL, there are two versions for 32 bit CPHY design, 1 with 2.5 pclk delay, another with 5.5 pclk delay</t>
  </si>
  <si>
    <t>PHY DELAY FOR CPHY 32 bit</t>
  </si>
  <si>
    <t>pclk cycle</t>
  </si>
  <si>
    <t>PHY DELAY FOR CPHY</t>
  </si>
  <si>
    <t>PCLK_CPHY</t>
  </si>
  <si>
    <t>MHz</t>
  </si>
  <si>
    <t>CPHY</t>
  </si>
  <si>
    <t>pclk_period_cphy</t>
  </si>
  <si>
    <t>ns</t>
  </si>
  <si>
    <t>Value</t>
  </si>
  <si>
    <t>Unit</t>
  </si>
  <si>
    <t>Min</t>
  </si>
  <si>
    <t>Max</t>
  </si>
  <si>
    <t>Note</t>
  </si>
  <si>
    <t>0x4862</t>
  </si>
  <si>
    <t>0x4860[3]</t>
  </si>
  <si>
    <t>T_PREAMABLE</t>
  </si>
  <si>
    <t>UI</t>
  </si>
  <si>
    <t>14UI</t>
  </si>
  <si>
    <t>448UI</t>
  </si>
  <si>
    <t>0x4862 * 7UI (pre-begin) + 0x4860[3] * 14 UI (programmable sequence) + 7 UI (pre-end)</t>
  </si>
  <si>
    <t>0x481a</t>
  </si>
  <si>
    <t>0x481b</t>
  </si>
  <si>
    <t>T_POST</t>
  </si>
  <si>
    <t>7UI</t>
  </si>
  <si>
    <t>224UI</t>
  </si>
  <si>
    <t>0x4828</t>
  </si>
  <si>
    <t>0x4829</t>
  </si>
  <si>
    <t>T_EXIT</t>
  </si>
  <si>
    <t>100ns</t>
  </si>
  <si>
    <t>N/A</t>
  </si>
  <si>
    <t>{r4828,r4829} ns (need to consider hblk, this value calculated is with minimum hblk)</t>
  </si>
  <si>
    <t>0x4831[3:0]</t>
  </si>
  <si>
    <t>0x4826</t>
  </si>
  <si>
    <t>T_HS_PREPARE</t>
  </si>
  <si>
    <t>38ns</t>
  </si>
  <si>
    <t>95ns</t>
  </si>
  <si>
    <t xml:space="preserve">0x4831[3:0] * UI + 0x4826 ns </t>
  </si>
  <si>
    <t>0x4825</t>
  </si>
  <si>
    <t>T_LPX</t>
  </si>
  <si>
    <t>50ns</t>
  </si>
  <si>
    <t>0x4825 ns</t>
  </si>
  <si>
    <t>PCLK_DPHY</t>
  </si>
  <si>
    <t>DPHY</t>
  </si>
  <si>
    <t>pclk_period_dphy</t>
  </si>
  <si>
    <t xml:space="preserve">UI_dphy </t>
  </si>
  <si>
    <t>ns (1 bit decimal for internal calculation)</t>
  </si>
  <si>
    <t>40ns+4UI</t>
  </si>
  <si>
    <t>85ns+6UI</t>
  </si>
  <si>
    <t>0x482a</t>
  </si>
  <si>
    <t>0x4818</t>
  </si>
  <si>
    <t>0x4819</t>
  </si>
  <si>
    <t>T_HS_ZERO</t>
  </si>
  <si>
    <t>105ns+6UI</t>
  </si>
  <si>
    <t>0x482a * UI + {0x4818,0x4819} ns</t>
  </si>
  <si>
    <t>0x482b</t>
  </si>
  <si>
    <t>3c</t>
  </si>
  <si>
    <t>T_HS_TRAIL</t>
  </si>
  <si>
    <t>60ns+4UI</t>
  </si>
  <si>
    <t>0x482b * UI + {0x481a,0x481b} ns</t>
  </si>
  <si>
    <t>T_HS_EXIT</t>
  </si>
  <si>
    <t>0x481f</t>
  </si>
  <si>
    <t>T_CLK_PREPARE</t>
  </si>
  <si>
    <t>0x481f ns</t>
  </si>
  <si>
    <t>0x481c</t>
  </si>
  <si>
    <t>0x481d</t>
  </si>
  <si>
    <t>2c</t>
  </si>
  <si>
    <t>T_CLK_ZERO</t>
  </si>
  <si>
    <t>262ns</t>
  </si>
  <si>
    <t>{0x481c,0x481d} ns</t>
  </si>
  <si>
    <t>0x4822</t>
  </si>
  <si>
    <t>0x4823</t>
  </si>
  <si>
    <t>T_CLK_TRAIL</t>
  </si>
  <si>
    <t>60ns</t>
  </si>
  <si>
    <t>{0x4822,0x4823} ns</t>
  </si>
  <si>
    <t>0x482e</t>
  </si>
  <si>
    <t>0x4820</t>
  </si>
  <si>
    <t>0x4821</t>
  </si>
  <si>
    <t>T_CLK_POST</t>
  </si>
  <si>
    <t>62ns+52UI</t>
  </si>
  <si>
    <t>0x482e * UI + {0x4820,0x4821} ns</t>
  </si>
  <si>
    <r>
      <t>{0x481a,0x481b} * N</t>
    </r>
    <r>
      <rPr>
        <sz val="11"/>
        <color theme="9" tint="-0.249977111117893"/>
        <rFont val="Arial"/>
        <family val="2"/>
      </rPr>
      <t xml:space="preserve"> (set 0x4802[1]=1)</t>
    </r>
    <r>
      <rPr>
        <sz val="11"/>
        <color theme="1"/>
        <rFont val="Arial"/>
        <family val="2"/>
      </rPr>
      <t xml:space="preserve"> (N = 7 UI for normal speed projects(48B,48C,12D), N = 14 UI for high speed projects (64A,64B,64C)) </t>
    </r>
  </si>
  <si>
    <r>
      <t xml:space="preserve">{r4828,r4829} ns </t>
    </r>
    <r>
      <rPr>
        <sz val="11"/>
        <color theme="9" tint="-0.249977111117893"/>
        <rFont val="Arial"/>
        <family val="2"/>
      </rPr>
      <t>(set 0x4802[1]=0)</t>
    </r>
  </si>
  <si>
    <t>MIPI</t>
    <phoneticPr fontId="4" type="noConversion"/>
  </si>
  <si>
    <t>MIPI VOD</t>
    <phoneticPr fontId="4" type="noConversion"/>
  </si>
  <si>
    <t>default</t>
    <phoneticPr fontId="4" type="noConversion"/>
  </si>
  <si>
    <t>R4885</t>
    <phoneticPr fontId="4" type="noConversion"/>
  </si>
  <si>
    <t>sel_drv[3:0]</t>
  </si>
  <si>
    <t>1111</t>
  </si>
  <si>
    <t>1000</t>
  </si>
  <si>
    <t>0110</t>
  </si>
  <si>
    <t>Vod (mv)</t>
  </si>
  <si>
    <t>0f</t>
    <phoneticPr fontId="4" type="noConversion"/>
  </si>
  <si>
    <t>06</t>
    <phoneticPr fontId="4" type="noConversion"/>
  </si>
  <si>
    <t>1011</t>
    <phoneticPr fontId="4" type="noConversion"/>
  </si>
  <si>
    <t>0b</t>
    <phoneticPr fontId="4" type="noConversion"/>
  </si>
  <si>
    <t>20 rows</t>
    <phoneticPr fontId="6" type="noConversion"/>
  </si>
  <si>
    <t>Modify min.exposure line to 20 rows.</t>
    <phoneticPr fontId="4" type="noConversion"/>
  </si>
  <si>
    <t>2023.03.29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</si>
</sst>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0"/>
    <numFmt numFmtId="177" formatCode="0.000_);[Red]\(0.000\)"/>
    <numFmt numFmtId="178" formatCode="0.00_);[Red]\(0.00\)"/>
    <numFmt numFmtId="179" formatCode="0.000"/>
    <numFmt numFmtId="180" formatCode="0.00_ "/>
  </numFmts>
  <fonts count="57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28"/>
      <scheme val="minor"/>
    </font>
    <font>
      <sz val="11"/>
      <color theme="1"/>
      <name val="宋体"/>
      <family val="2"/>
      <charset val="128"/>
      <scheme val="minor"/>
    </font>
    <font>
      <sz val="11"/>
      <color theme="1"/>
      <name val="宋体"/>
      <family val="2"/>
      <charset val="128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26"/>
      <color theme="1"/>
      <name val="Arial"/>
      <family val="2"/>
    </font>
    <font>
      <sz val="6"/>
      <name val="宋体"/>
      <family val="3"/>
      <charset val="128"/>
      <scheme val="minor"/>
    </font>
    <font>
      <sz val="16"/>
      <color theme="1"/>
      <name val="Arial"/>
      <family val="2"/>
    </font>
    <font>
      <sz val="22"/>
      <color theme="1"/>
      <name val="Arial"/>
      <family val="2"/>
    </font>
    <font>
      <sz val="24"/>
      <color rgb="FF000000"/>
      <name val="Arial"/>
      <family val="2"/>
    </font>
    <font>
      <sz val="26"/>
      <color rgb="FF000000"/>
      <name val="Arial"/>
      <family val="2"/>
    </font>
    <font>
      <sz val="11"/>
      <name val="Arial"/>
      <family val="2"/>
    </font>
    <font>
      <sz val="6"/>
      <name val="宋体"/>
      <family val="2"/>
      <charset val="128"/>
      <scheme val="minor"/>
    </font>
    <font>
      <sz val="11"/>
      <color theme="1"/>
      <name val="宋体"/>
      <family val="2"/>
      <scheme val="minor"/>
    </font>
    <font>
      <sz val="11"/>
      <color theme="1"/>
      <name val="ＭＳ Ｐゴシック"/>
      <family val="3"/>
      <charset val="128"/>
    </font>
    <font>
      <sz val="20"/>
      <color theme="1"/>
      <name val="Arial"/>
      <family val="2"/>
    </font>
    <font>
      <sz val="12"/>
      <color theme="1"/>
      <name val="Arial"/>
      <family val="2"/>
    </font>
    <font>
      <b/>
      <sz val="36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b/>
      <sz val="28"/>
      <color rgb="FFFF0000"/>
      <name val="等线"/>
      <family val="3"/>
      <charset val="134"/>
    </font>
    <font>
      <sz val="9"/>
      <name val="宋体"/>
      <family val="2"/>
      <charset val="134"/>
      <scheme val="minor"/>
    </font>
    <font>
      <sz val="14"/>
      <color rgb="FFFF0000"/>
      <name val="等线"/>
      <family val="3"/>
      <charset val="134"/>
    </font>
    <font>
      <sz val="12"/>
      <color rgb="FFFF0000"/>
      <name val="等线"/>
      <family val="3"/>
      <charset val="134"/>
    </font>
    <font>
      <b/>
      <sz val="28"/>
      <color theme="1"/>
      <name val="等线"/>
      <family val="3"/>
      <charset val="134"/>
    </font>
    <font>
      <sz val="22"/>
      <color theme="1"/>
      <name val="等线"/>
      <family val="3"/>
      <charset val="134"/>
    </font>
    <font>
      <b/>
      <sz val="22"/>
      <name val="等线"/>
      <family val="3"/>
      <charset val="134"/>
    </font>
    <font>
      <b/>
      <sz val="22"/>
      <color theme="1"/>
      <name val="等线"/>
      <family val="3"/>
      <charset val="134"/>
    </font>
    <font>
      <b/>
      <sz val="12"/>
      <name val="等线"/>
      <family val="3"/>
      <charset val="134"/>
    </font>
    <font>
      <b/>
      <sz val="12"/>
      <color theme="1"/>
      <name val="等线"/>
      <family val="3"/>
      <charset val="134"/>
    </font>
    <font>
      <b/>
      <sz val="11"/>
      <name val="等线"/>
      <family val="3"/>
      <charset val="134"/>
    </font>
    <font>
      <b/>
      <sz val="26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24"/>
      <color theme="1"/>
      <name val="等线"/>
      <family val="3"/>
      <charset val="134"/>
    </font>
    <font>
      <b/>
      <sz val="10"/>
      <color rgb="FFFF0000"/>
      <name val="等线"/>
      <family val="3"/>
      <charset val="134"/>
    </font>
    <font>
      <b/>
      <vertAlign val="subscript"/>
      <sz val="11"/>
      <name val="等线"/>
      <family val="3"/>
      <charset val="134"/>
    </font>
    <font>
      <b/>
      <vertAlign val="subscript"/>
      <sz val="11"/>
      <color theme="1"/>
      <name val="等线"/>
      <family val="3"/>
      <charset val="134"/>
    </font>
    <font>
      <b/>
      <sz val="18"/>
      <color rgb="FFFF0000"/>
      <name val="等线"/>
      <family val="3"/>
      <charset val="134"/>
    </font>
    <font>
      <sz val="14"/>
      <color theme="1"/>
      <name val="等线"/>
      <family val="3"/>
      <charset val="134"/>
    </font>
    <font>
      <sz val="11"/>
      <color theme="0" tint="-0.14999847407452621"/>
      <name val="Arial"/>
      <family val="2"/>
    </font>
    <font>
      <sz val="18"/>
      <name val="Arial"/>
      <family val="2"/>
    </font>
    <font>
      <sz val="6"/>
      <name val="ＭＳ Ｐゴシック"/>
      <family val="3"/>
      <charset val="128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11"/>
      <color theme="0"/>
      <name val="Arial"/>
      <family val="2"/>
    </font>
    <font>
      <sz val="18"/>
      <color theme="1"/>
      <name val="Arial"/>
      <family val="2"/>
    </font>
    <font>
      <b/>
      <sz val="11"/>
      <color theme="1"/>
      <name val="Arial"/>
      <family val="2"/>
    </font>
    <font>
      <sz val="28"/>
      <color theme="1"/>
      <name val="Arial"/>
      <family val="2"/>
    </font>
    <font>
      <sz val="11"/>
      <color theme="9" tint="-0.249977111117893"/>
      <name val="Arial"/>
      <family val="2"/>
    </font>
    <font>
      <b/>
      <sz val="11"/>
      <color rgb="FFFF000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3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0">
      <alignment vertical="center"/>
    </xf>
    <xf numFmtId="0" fontId="17" fillId="0" borderId="0"/>
    <xf numFmtId="0" fontId="2" fillId="0" borderId="0">
      <alignment vertical="center"/>
    </xf>
    <xf numFmtId="0" fontId="1" fillId="0" borderId="0">
      <alignment vertical="center"/>
    </xf>
  </cellStyleXfs>
  <cellXfs count="364">
    <xf numFmtId="0" fontId="0" fillId="0" borderId="0" xfId="0"/>
    <xf numFmtId="0" fontId="5" fillId="3" borderId="1" xfId="0" applyFont="1" applyFill="1" applyBorder="1" applyAlignment="1" applyProtection="1">
      <alignment horizontal="center" vertical="center" wrapText="1"/>
    </xf>
    <xf numFmtId="0" fontId="5" fillId="3" borderId="0" xfId="0" applyFont="1" applyFill="1" applyBorder="1" applyAlignment="1" applyProtection="1">
      <alignment horizontal="center" vertical="center" wrapText="1"/>
    </xf>
    <xf numFmtId="0" fontId="7" fillId="5" borderId="0" xfId="0" applyFont="1" applyFill="1" applyProtection="1"/>
    <xf numFmtId="0" fontId="8" fillId="5" borderId="0" xfId="0" applyFont="1" applyFill="1" applyProtection="1"/>
    <xf numFmtId="0" fontId="7" fillId="5" borderId="0" xfId="0" applyFont="1" applyFill="1"/>
    <xf numFmtId="0" fontId="9" fillId="5" borderId="12" xfId="0" applyFont="1" applyFill="1" applyBorder="1"/>
    <xf numFmtId="0" fontId="7" fillId="5" borderId="13" xfId="0" applyFont="1" applyFill="1" applyBorder="1"/>
    <xf numFmtId="0" fontId="7" fillId="5" borderId="14" xfId="0" applyFont="1" applyFill="1" applyBorder="1"/>
    <xf numFmtId="0" fontId="7" fillId="5" borderId="1" xfId="0" applyFont="1" applyFill="1" applyBorder="1"/>
    <xf numFmtId="0" fontId="7" fillId="5" borderId="0" xfId="0" applyFont="1" applyFill="1" applyBorder="1"/>
    <xf numFmtId="0" fontId="7" fillId="5" borderId="2" xfId="0" applyFont="1" applyFill="1" applyBorder="1"/>
    <xf numFmtId="0" fontId="7" fillId="5" borderId="7" xfId="0" applyFont="1" applyFill="1" applyBorder="1"/>
    <xf numFmtId="0" fontId="7" fillId="5" borderId="3" xfId="0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0" fontId="0" fillId="5" borderId="0" xfId="0" applyFill="1"/>
    <xf numFmtId="0" fontId="7" fillId="3" borderId="6" xfId="0" applyFont="1" applyFill="1" applyBorder="1" applyProtection="1"/>
    <xf numFmtId="49" fontId="7" fillId="3" borderId="6" xfId="0" applyNumberFormat="1" applyFont="1" applyFill="1" applyBorder="1" applyAlignment="1" applyProtection="1">
      <alignment horizontal="left" vertical="center"/>
    </xf>
    <xf numFmtId="49" fontId="7" fillId="5" borderId="6" xfId="0" applyNumberFormat="1" applyFont="1" applyFill="1" applyBorder="1" applyAlignment="1" applyProtection="1">
      <alignment horizontal="center" vertical="center"/>
    </xf>
    <xf numFmtId="49" fontId="7" fillId="5" borderId="6" xfId="0" applyNumberFormat="1" applyFont="1" applyFill="1" applyBorder="1" applyAlignment="1" applyProtection="1">
      <alignment horizontal="left" vertical="center"/>
    </xf>
    <xf numFmtId="49" fontId="7" fillId="5" borderId="6" xfId="0" applyNumberFormat="1" applyFont="1" applyFill="1" applyBorder="1" applyAlignment="1" applyProtection="1">
      <alignment horizontal="center"/>
    </xf>
    <xf numFmtId="0" fontId="7" fillId="5" borderId="23" xfId="0" applyFont="1" applyFill="1" applyBorder="1"/>
    <xf numFmtId="0" fontId="7" fillId="5" borderId="8" xfId="0" applyFont="1" applyFill="1" applyBorder="1"/>
    <xf numFmtId="0" fontId="7" fillId="5" borderId="22" xfId="0" applyFont="1" applyFill="1" applyBorder="1"/>
    <xf numFmtId="0" fontId="7" fillId="5" borderId="10" xfId="0" applyFont="1" applyFill="1" applyBorder="1"/>
    <xf numFmtId="0" fontId="7" fillId="5" borderId="11" xfId="0" applyFont="1" applyFill="1" applyBorder="1"/>
    <xf numFmtId="0" fontId="7" fillId="5" borderId="0" xfId="0" applyFont="1" applyFill="1" applyBorder="1" applyProtection="1"/>
    <xf numFmtId="0" fontId="7" fillId="5" borderId="9" xfId="0" applyFont="1" applyFill="1" applyBorder="1" applyProtection="1"/>
    <xf numFmtId="0" fontId="7" fillId="5" borderId="25" xfId="0" applyFont="1" applyFill="1" applyBorder="1" applyProtection="1"/>
    <xf numFmtId="0" fontId="7" fillId="5" borderId="27" xfId="0" applyFont="1" applyFill="1" applyBorder="1" applyProtection="1"/>
    <xf numFmtId="0" fontId="7" fillId="5" borderId="8" xfId="0" applyFont="1" applyFill="1" applyBorder="1" applyProtection="1"/>
    <xf numFmtId="0" fontId="7" fillId="5" borderId="0" xfId="0" applyFont="1" applyFill="1" applyBorder="1" applyAlignment="1" applyProtection="1">
      <alignment vertical="center"/>
    </xf>
    <xf numFmtId="0" fontId="7" fillId="5" borderId="1" xfId="0" applyFont="1" applyFill="1" applyBorder="1" applyAlignment="1" applyProtection="1">
      <alignment vertical="center"/>
    </xf>
    <xf numFmtId="49" fontId="7" fillId="5" borderId="0" xfId="0" applyNumberFormat="1" applyFont="1" applyFill="1" applyBorder="1" applyProtection="1"/>
    <xf numFmtId="49" fontId="7" fillId="5" borderId="21" xfId="0" applyNumberFormat="1" applyFont="1" applyFill="1" applyBorder="1" applyProtection="1"/>
    <xf numFmtId="49" fontId="7" fillId="5" borderId="20" xfId="0" applyNumberFormat="1" applyFont="1" applyFill="1" applyBorder="1" applyProtection="1"/>
    <xf numFmtId="49" fontId="7" fillId="5" borderId="19" xfId="0" applyNumberFormat="1" applyFont="1" applyFill="1" applyBorder="1" applyProtection="1"/>
    <xf numFmtId="49" fontId="7" fillId="5" borderId="6" xfId="0" applyNumberFormat="1" applyFont="1" applyFill="1" applyBorder="1" applyProtection="1"/>
    <xf numFmtId="49" fontId="7" fillId="5" borderId="17" xfId="0" applyNumberFormat="1" applyFont="1" applyFill="1" applyBorder="1" applyProtection="1"/>
    <xf numFmtId="49" fontId="7" fillId="5" borderId="16" xfId="0" applyNumberFormat="1" applyFont="1" applyFill="1" applyBorder="1" applyProtection="1"/>
    <xf numFmtId="0" fontId="8" fillId="5" borderId="0" xfId="0" applyFont="1" applyFill="1" applyAlignment="1" applyProtection="1">
      <alignment horizontal="left"/>
    </xf>
    <xf numFmtId="0" fontId="5" fillId="3" borderId="34" xfId="0" applyFont="1" applyFill="1" applyBorder="1" applyAlignment="1" applyProtection="1">
      <alignment horizontal="center" vertical="center" wrapText="1"/>
    </xf>
    <xf numFmtId="0" fontId="5" fillId="3" borderId="35" xfId="0" applyFont="1" applyFill="1" applyBorder="1" applyAlignment="1" applyProtection="1">
      <alignment horizontal="center" vertical="center" wrapText="1"/>
    </xf>
    <xf numFmtId="0" fontId="5" fillId="3" borderId="36" xfId="0" applyFont="1" applyFill="1" applyBorder="1" applyAlignment="1" applyProtection="1">
      <alignment horizontal="center" vertical="center" wrapText="1"/>
    </xf>
    <xf numFmtId="0" fontId="11" fillId="4" borderId="0" xfId="0" applyFont="1" applyFill="1" applyAlignment="1" applyProtection="1">
      <alignment vertical="center"/>
    </xf>
    <xf numFmtId="0" fontId="0" fillId="5" borderId="0" xfId="0" applyFill="1" applyProtection="1"/>
    <xf numFmtId="0" fontId="0" fillId="5" borderId="0" xfId="0" applyFill="1" applyAlignment="1" applyProtection="1">
      <alignment wrapText="1"/>
    </xf>
    <xf numFmtId="0" fontId="13" fillId="0" borderId="0" xfId="0" applyFont="1"/>
    <xf numFmtId="0" fontId="14" fillId="0" borderId="0" xfId="0" applyFont="1"/>
    <xf numFmtId="0" fontId="8" fillId="5" borderId="36" xfId="0" applyFont="1" applyFill="1" applyBorder="1" applyProtection="1"/>
    <xf numFmtId="0" fontId="0" fillId="5" borderId="35" xfId="0" applyFill="1" applyBorder="1" applyProtection="1"/>
    <xf numFmtId="0" fontId="0" fillId="5" borderId="35" xfId="0" applyFill="1" applyBorder="1" applyAlignment="1" applyProtection="1">
      <alignment wrapText="1"/>
    </xf>
    <xf numFmtId="0" fontId="0" fillId="5" borderId="36" xfId="0" applyFill="1" applyBorder="1" applyProtection="1"/>
    <xf numFmtId="0" fontId="8" fillId="5" borderId="35" xfId="0" applyFont="1" applyFill="1" applyBorder="1" applyProtection="1"/>
    <xf numFmtId="0" fontId="0" fillId="5" borderId="34" xfId="0" applyFill="1" applyBorder="1" applyProtection="1"/>
    <xf numFmtId="0" fontId="8" fillId="5" borderId="1" xfId="0" applyFont="1" applyFill="1" applyBorder="1" applyProtection="1"/>
    <xf numFmtId="0" fontId="0" fillId="5" borderId="0" xfId="0" applyFill="1" applyBorder="1" applyProtection="1"/>
    <xf numFmtId="0" fontId="0" fillId="5" borderId="0" xfId="0" applyFill="1" applyBorder="1" applyAlignment="1" applyProtection="1">
      <alignment wrapText="1"/>
    </xf>
    <xf numFmtId="0" fontId="0" fillId="5" borderId="1" xfId="0" applyFill="1" applyBorder="1" applyProtection="1"/>
    <xf numFmtId="0" fontId="8" fillId="5" borderId="0" xfId="0" applyFont="1" applyFill="1" applyBorder="1" applyProtection="1"/>
    <xf numFmtId="0" fontId="0" fillId="5" borderId="2" xfId="0" applyFill="1" applyBorder="1" applyProtection="1"/>
    <xf numFmtId="49" fontId="15" fillId="5" borderId="6" xfId="0" applyNumberFormat="1" applyFont="1" applyFill="1" applyBorder="1" applyAlignment="1" applyProtection="1">
      <alignment horizontal="center" vertical="center"/>
    </xf>
    <xf numFmtId="49" fontId="7" fillId="5" borderId="0" xfId="0" applyNumberFormat="1" applyFont="1" applyFill="1" applyBorder="1" applyAlignment="1" applyProtection="1">
      <alignment horizontal="center" vertical="center"/>
    </xf>
    <xf numFmtId="49" fontId="7" fillId="5" borderId="0" xfId="0" applyNumberFormat="1" applyFont="1" applyFill="1" applyBorder="1" applyAlignment="1" applyProtection="1">
      <alignment horizontal="center" vertical="center" wrapText="1"/>
    </xf>
    <xf numFmtId="0" fontId="0" fillId="5" borderId="3" xfId="0" applyFill="1" applyBorder="1" applyProtection="1"/>
    <xf numFmtId="0" fontId="0" fillId="5" borderId="4" xfId="0" applyFill="1" applyBorder="1" applyProtection="1"/>
    <xf numFmtId="0" fontId="0" fillId="5" borderId="4" xfId="0" applyFill="1" applyBorder="1" applyAlignment="1" applyProtection="1">
      <alignment wrapText="1"/>
    </xf>
    <xf numFmtId="0" fontId="0" fillId="5" borderId="5" xfId="0" applyFill="1" applyBorder="1" applyProtection="1"/>
    <xf numFmtId="49" fontId="7" fillId="5" borderId="6" xfId="0" applyNumberFormat="1" applyFont="1" applyFill="1" applyBorder="1" applyAlignment="1" applyProtection="1">
      <alignment vertical="center" wrapText="1"/>
    </xf>
    <xf numFmtId="0" fontId="7" fillId="5" borderId="0" xfId="0" applyFont="1" applyFill="1" applyBorder="1" applyAlignment="1" applyProtection="1">
      <alignment wrapText="1"/>
    </xf>
    <xf numFmtId="49" fontId="7" fillId="5" borderId="6" xfId="0" applyNumberFormat="1" applyFont="1" applyFill="1" applyBorder="1" applyAlignment="1" applyProtection="1">
      <alignment horizontal="left" vertical="top" wrapText="1"/>
    </xf>
    <xf numFmtId="49" fontId="7" fillId="5" borderId="0" xfId="0" applyNumberFormat="1" applyFont="1" applyFill="1" applyBorder="1" applyAlignment="1" applyProtection="1">
      <alignment vertical="center"/>
    </xf>
    <xf numFmtId="49" fontId="7" fillId="5" borderId="0" xfId="0" applyNumberFormat="1" applyFont="1" applyFill="1" applyBorder="1" applyAlignment="1" applyProtection="1">
      <alignment horizontal="left" vertical="top" wrapText="1"/>
    </xf>
    <xf numFmtId="49" fontId="7" fillId="5" borderId="6" xfId="0" applyNumberFormat="1" applyFont="1" applyFill="1" applyBorder="1" applyAlignment="1" applyProtection="1">
      <alignment horizontal="left" vertical="top" wrapText="1"/>
    </xf>
    <xf numFmtId="49" fontId="7" fillId="5" borderId="37" xfId="0" applyNumberFormat="1" applyFont="1" applyFill="1" applyBorder="1" applyAlignment="1" applyProtection="1">
      <alignment horizontal="left" vertical="top" wrapText="1"/>
    </xf>
    <xf numFmtId="0" fontId="7" fillId="0" borderId="6" xfId="0" applyFont="1" applyBorder="1" applyAlignment="1">
      <alignment horizontal="center" vertical="center"/>
    </xf>
    <xf numFmtId="0" fontId="7" fillId="5" borderId="6" xfId="0" applyFont="1" applyFill="1" applyBorder="1" applyAlignment="1" applyProtection="1">
      <alignment horizontal="left"/>
    </xf>
    <xf numFmtId="0" fontId="7" fillId="3" borderId="6" xfId="0" applyFont="1" applyFill="1" applyBorder="1" applyAlignment="1" applyProtection="1">
      <alignment horizontal="left"/>
    </xf>
    <xf numFmtId="49" fontId="7" fillId="5" borderId="8" xfId="0" applyNumberFormat="1" applyFont="1" applyFill="1" applyBorder="1" applyAlignment="1" applyProtection="1">
      <alignment horizontal="center" vertical="center"/>
    </xf>
    <xf numFmtId="49" fontId="7" fillId="5" borderId="8" xfId="0" applyNumberFormat="1" applyFont="1" applyFill="1" applyBorder="1" applyAlignment="1" applyProtection="1">
      <alignment horizontal="left" vertical="top" wrapText="1"/>
    </xf>
    <xf numFmtId="49" fontId="15" fillId="5" borderId="6" xfId="0" applyNumberFormat="1" applyFont="1" applyFill="1" applyBorder="1" applyAlignment="1" applyProtection="1">
      <alignment vertical="top" wrapText="1"/>
    </xf>
    <xf numFmtId="0" fontId="22" fillId="5" borderId="0" xfId="0" applyFont="1" applyFill="1"/>
    <xf numFmtId="0" fontId="22" fillId="5" borderId="0" xfId="0" applyFont="1" applyFill="1" applyAlignment="1">
      <alignment vertical="center"/>
    </xf>
    <xf numFmtId="0" fontId="22" fillId="5" borderId="0" xfId="0" applyFont="1" applyFill="1" applyBorder="1" applyAlignment="1">
      <alignment vertical="center"/>
    </xf>
    <xf numFmtId="0" fontId="23" fillId="5" borderId="0" xfId="0" applyFont="1" applyFill="1" applyBorder="1" applyAlignment="1">
      <alignment vertical="center"/>
    </xf>
    <xf numFmtId="0" fontId="26" fillId="5" borderId="0" xfId="0" applyFont="1" applyFill="1" applyBorder="1" applyAlignment="1">
      <alignment vertical="center" wrapText="1"/>
    </xf>
    <xf numFmtId="0" fontId="22" fillId="0" borderId="0" xfId="0" applyFont="1" applyAlignment="1">
      <alignment vertical="center"/>
    </xf>
    <xf numFmtId="0" fontId="33" fillId="5" borderId="13" xfId="0" applyFont="1" applyFill="1" applyBorder="1" applyAlignment="1">
      <alignment horizontal="center" vertical="center"/>
    </xf>
    <xf numFmtId="0" fontId="34" fillId="5" borderId="41" xfId="0" applyFont="1" applyFill="1" applyBorder="1" applyAlignment="1">
      <alignment vertical="center"/>
    </xf>
    <xf numFmtId="0" fontId="35" fillId="5" borderId="35" xfId="0" applyFont="1" applyFill="1" applyBorder="1" applyAlignment="1">
      <alignment horizontal="center" vertical="center"/>
    </xf>
    <xf numFmtId="0" fontId="35" fillId="5" borderId="34" xfId="0" applyFont="1" applyFill="1" applyBorder="1" applyAlignment="1">
      <alignment horizontal="center" vertical="center"/>
    </xf>
    <xf numFmtId="0" fontId="35" fillId="5" borderId="36" xfId="0" applyFont="1" applyFill="1" applyBorder="1" applyAlignment="1">
      <alignment horizontal="center" vertical="center"/>
    </xf>
    <xf numFmtId="0" fontId="33" fillId="9" borderId="18" xfId="0" applyFont="1" applyFill="1" applyBorder="1" applyAlignment="1">
      <alignment horizontal="center" vertical="center"/>
    </xf>
    <xf numFmtId="0" fontId="33" fillId="8" borderId="6" xfId="0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 vertical="center"/>
    </xf>
    <xf numFmtId="0" fontId="33" fillId="8" borderId="18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33" fillId="5" borderId="6" xfId="0" applyFont="1" applyFill="1" applyBorder="1" applyAlignment="1">
      <alignment horizontal="center" vertical="center"/>
    </xf>
    <xf numFmtId="0" fontId="35" fillId="7" borderId="7" xfId="0" applyFont="1" applyFill="1" applyBorder="1" applyAlignment="1">
      <alignment horizontal="center" vertical="center"/>
    </xf>
    <xf numFmtId="0" fontId="35" fillId="7" borderId="7" xfId="0" applyFont="1" applyFill="1" applyBorder="1" applyAlignment="1">
      <alignment horizontal="left" vertical="center"/>
    </xf>
    <xf numFmtId="0" fontId="35" fillId="7" borderId="43" xfId="0" applyFont="1" applyFill="1" applyBorder="1" applyAlignment="1">
      <alignment horizontal="left" vertical="center"/>
    </xf>
    <xf numFmtId="0" fontId="35" fillId="2" borderId="6" xfId="0" applyFont="1" applyFill="1" applyBorder="1" applyAlignment="1">
      <alignment horizontal="center" vertical="center"/>
    </xf>
    <xf numFmtId="0" fontId="35" fillId="7" borderId="6" xfId="0" applyFont="1" applyFill="1" applyBorder="1" applyAlignment="1">
      <alignment horizontal="center" vertical="center"/>
    </xf>
    <xf numFmtId="0" fontId="35" fillId="2" borderId="42" xfId="0" applyFont="1" applyFill="1" applyBorder="1" applyAlignment="1">
      <alignment horizontal="center" vertical="center"/>
    </xf>
    <xf numFmtId="0" fontId="35" fillId="7" borderId="19" xfId="0" applyFont="1" applyFill="1" applyBorder="1" applyAlignment="1">
      <alignment horizontal="center" vertical="center"/>
    </xf>
    <xf numFmtId="0" fontId="35" fillId="5" borderId="0" xfId="0" applyFont="1" applyFill="1" applyBorder="1" applyAlignment="1">
      <alignment horizontal="center" vertical="center"/>
    </xf>
    <xf numFmtId="0" fontId="35" fillId="5" borderId="0" xfId="0" applyFont="1" applyFill="1" applyBorder="1" applyAlignment="1">
      <alignment horizontal="left" vertical="center"/>
    </xf>
    <xf numFmtId="0" fontId="22" fillId="2" borderId="6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7" borderId="42" xfId="0" applyFont="1" applyFill="1" applyBorder="1" applyAlignment="1">
      <alignment horizontal="center" vertical="center"/>
    </xf>
    <xf numFmtId="0" fontId="22" fillId="7" borderId="19" xfId="0" applyFont="1" applyFill="1" applyBorder="1" applyAlignment="1">
      <alignment horizontal="center" vertical="center"/>
    </xf>
    <xf numFmtId="0" fontId="35" fillId="5" borderId="9" xfId="0" applyFont="1" applyFill="1" applyBorder="1" applyAlignment="1">
      <alignment horizontal="center" vertical="center"/>
    </xf>
    <xf numFmtId="0" fontId="38" fillId="5" borderId="0" xfId="0" applyFont="1" applyFill="1" applyBorder="1" applyAlignment="1">
      <alignment horizontal="center" vertical="center" wrapText="1"/>
    </xf>
    <xf numFmtId="0" fontId="35" fillId="5" borderId="2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 textRotation="90"/>
    </xf>
    <xf numFmtId="0" fontId="34" fillId="5" borderId="4" xfId="0" applyFont="1" applyFill="1" applyBorder="1" applyAlignment="1">
      <alignment vertical="center"/>
    </xf>
    <xf numFmtId="0" fontId="33" fillId="5" borderId="4" xfId="0" applyFont="1" applyFill="1" applyBorder="1" applyAlignment="1">
      <alignment horizontal="center" vertical="center"/>
    </xf>
    <xf numFmtId="0" fontId="34" fillId="5" borderId="49" xfId="0" applyFont="1" applyFill="1" applyBorder="1" applyAlignment="1">
      <alignment vertical="center"/>
    </xf>
    <xf numFmtId="0" fontId="35" fillId="5" borderId="4" xfId="0" applyFont="1" applyFill="1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42" fillId="5" borderId="0" xfId="0" applyFont="1" applyFill="1" applyBorder="1" applyAlignment="1">
      <alignment vertical="center" wrapText="1"/>
    </xf>
    <xf numFmtId="0" fontId="35" fillId="7" borderId="9" xfId="0" applyFont="1" applyFill="1" applyBorder="1" applyAlignment="1">
      <alignment horizontal="center" vertical="center"/>
    </xf>
    <xf numFmtId="0" fontId="35" fillId="7" borderId="9" xfId="0" applyFont="1" applyFill="1" applyBorder="1" applyAlignment="1">
      <alignment horizontal="left" vertical="center"/>
    </xf>
    <xf numFmtId="0" fontId="35" fillId="7" borderId="24" xfId="0" applyFont="1" applyFill="1" applyBorder="1" applyAlignment="1">
      <alignment horizontal="left" vertical="center"/>
    </xf>
    <xf numFmtId="0" fontId="20" fillId="4" borderId="0" xfId="0" applyFont="1" applyFill="1" applyAlignment="1">
      <alignment vertical="center"/>
    </xf>
    <xf numFmtId="0" fontId="7" fillId="4" borderId="0" xfId="0" applyFont="1" applyFill="1"/>
    <xf numFmtId="0" fontId="20" fillId="5" borderId="0" xfId="0" applyFont="1" applyFill="1" applyAlignment="1">
      <alignment vertical="center"/>
    </xf>
    <xf numFmtId="0" fontId="20" fillId="5" borderId="0" xfId="0" applyFont="1" applyFill="1" applyBorder="1" applyAlignment="1">
      <alignment vertical="center"/>
    </xf>
    <xf numFmtId="0" fontId="7" fillId="0" borderId="6" xfId="0" applyFont="1" applyBorder="1" applyAlignment="1">
      <alignment horizontal="left"/>
    </xf>
    <xf numFmtId="0" fontId="7" fillId="7" borderId="6" xfId="0" applyFont="1" applyFill="1" applyBorder="1" applyAlignment="1">
      <alignment horizontal="left"/>
    </xf>
    <xf numFmtId="176" fontId="7" fillId="0" borderId="6" xfId="0" applyNumberFormat="1" applyFont="1" applyBorder="1" applyAlignment="1">
      <alignment horizontal="left"/>
    </xf>
    <xf numFmtId="0" fontId="7" fillId="12" borderId="6" xfId="0" applyFont="1" applyFill="1" applyBorder="1" applyAlignment="1">
      <alignment horizontal="left"/>
    </xf>
    <xf numFmtId="0" fontId="7" fillId="7" borderId="15" xfId="0" applyFont="1" applyFill="1" applyBorder="1" applyAlignment="1" applyProtection="1">
      <alignment horizontal="center" vertical="center" wrapText="1"/>
    </xf>
    <xf numFmtId="0" fontId="7" fillId="7" borderId="6" xfId="0" applyFont="1" applyFill="1" applyBorder="1" applyAlignment="1" applyProtection="1">
      <alignment horizontal="center" vertical="center" wrapText="1"/>
    </xf>
    <xf numFmtId="0" fontId="8" fillId="5" borderId="0" xfId="0" applyFont="1" applyFill="1"/>
    <xf numFmtId="0" fontId="7" fillId="2" borderId="16" xfId="0" applyFont="1" applyFill="1" applyBorder="1" applyProtection="1"/>
    <xf numFmtId="0" fontId="7" fillId="6" borderId="16" xfId="0" applyFont="1" applyFill="1" applyBorder="1" applyAlignment="1" applyProtection="1">
      <alignment horizontal="center"/>
    </xf>
    <xf numFmtId="0" fontId="7" fillId="5" borderId="0" xfId="0" applyFont="1" applyFill="1" applyAlignment="1" applyProtection="1">
      <alignment wrapText="1"/>
    </xf>
    <xf numFmtId="0" fontId="7" fillId="5" borderId="29" xfId="0" applyFont="1" applyFill="1" applyBorder="1" applyProtection="1"/>
    <xf numFmtId="0" fontId="7" fillId="2" borderId="28" xfId="0" applyFont="1" applyFill="1" applyBorder="1" applyAlignment="1" applyProtection="1">
      <alignment horizontal="center"/>
    </xf>
    <xf numFmtId="0" fontId="7" fillId="2" borderId="26" xfId="0" applyFont="1" applyFill="1" applyBorder="1" applyAlignment="1" applyProtection="1">
      <alignment horizontal="center"/>
    </xf>
    <xf numFmtId="0" fontId="7" fillId="6" borderId="26" xfId="0" applyFont="1" applyFill="1" applyBorder="1" applyAlignment="1" applyProtection="1">
      <alignment horizontal="center"/>
    </xf>
    <xf numFmtId="0" fontId="7" fillId="5" borderId="6" xfId="0" applyFont="1" applyFill="1" applyBorder="1" applyAlignment="1" applyProtection="1">
      <alignment horizontal="center"/>
    </xf>
    <xf numFmtId="0" fontId="7" fillId="7" borderId="24" xfId="0" applyFont="1" applyFill="1" applyBorder="1" applyAlignment="1" applyProtection="1">
      <alignment horizontal="center" vertical="center" wrapText="1"/>
    </xf>
    <xf numFmtId="0" fontId="7" fillId="6" borderId="6" xfId="0" applyFont="1" applyFill="1" applyBorder="1" applyAlignment="1" applyProtection="1">
      <alignment horizontal="center"/>
    </xf>
    <xf numFmtId="0" fontId="43" fillId="5" borderId="0" xfId="0" applyFont="1" applyFill="1" applyProtection="1"/>
    <xf numFmtId="0" fontId="0" fillId="5" borderId="0" xfId="0" applyFill="1" applyBorder="1"/>
    <xf numFmtId="177" fontId="0" fillId="5" borderId="0" xfId="0" applyNumberFormat="1" applyFill="1" applyBorder="1"/>
    <xf numFmtId="0" fontId="8" fillId="5" borderId="0" xfId="0" applyFont="1" applyFill="1" applyBorder="1" applyAlignment="1">
      <alignment vertical="center"/>
    </xf>
    <xf numFmtId="177" fontId="0" fillId="5" borderId="0" xfId="0" applyNumberFormat="1" applyFill="1"/>
    <xf numFmtId="0" fontId="46" fillId="13" borderId="6" xfId="0" applyFont="1" applyFill="1" applyBorder="1" applyAlignment="1" applyProtection="1">
      <alignment horizontal="center" vertical="center" wrapText="1"/>
    </xf>
    <xf numFmtId="0" fontId="48" fillId="0" borderId="6" xfId="0" applyFont="1" applyFill="1" applyBorder="1" applyAlignment="1" applyProtection="1">
      <alignment horizontal="center" vertical="center"/>
    </xf>
    <xf numFmtId="0" fontId="48" fillId="0" borderId="6" xfId="0" applyFont="1" applyFill="1" applyBorder="1" applyAlignment="1" applyProtection="1">
      <alignment horizontal="left" vertical="center"/>
    </xf>
    <xf numFmtId="0" fontId="5" fillId="0" borderId="6" xfId="0" applyFont="1" applyFill="1" applyBorder="1" applyAlignment="1" applyProtection="1">
      <alignment horizontal="left" vertical="top"/>
    </xf>
    <xf numFmtId="10" fontId="48" fillId="0" borderId="6" xfId="0" applyNumberFormat="1" applyFont="1" applyFill="1" applyBorder="1" applyAlignment="1" applyProtection="1">
      <alignment horizontal="left" vertical="top" wrapText="1"/>
      <protection locked="0"/>
    </xf>
    <xf numFmtId="178" fontId="5" fillId="5" borderId="6" xfId="0" applyNumberFormat="1" applyFont="1" applyFill="1" applyBorder="1" applyAlignment="1" applyProtection="1">
      <alignment horizontal="left" vertical="top" wrapText="1"/>
    </xf>
    <xf numFmtId="178" fontId="5" fillId="14" borderId="6" xfId="0" applyNumberFormat="1" applyFont="1" applyFill="1" applyBorder="1" applyAlignment="1" applyProtection="1">
      <alignment horizontal="left" vertical="top" wrapText="1"/>
    </xf>
    <xf numFmtId="0" fontId="48" fillId="0" borderId="6" xfId="0" applyFont="1" applyFill="1" applyBorder="1" applyAlignment="1" applyProtection="1">
      <alignment horizontal="left" vertical="top" wrapText="1"/>
      <protection locked="0"/>
    </xf>
    <xf numFmtId="177" fontId="48" fillId="14" borderId="6" xfId="0" applyNumberFormat="1" applyFont="1" applyFill="1" applyBorder="1" applyAlignment="1" applyProtection="1">
      <alignment horizontal="left" vertical="top" wrapText="1"/>
      <protection locked="0"/>
    </xf>
    <xf numFmtId="0" fontId="48" fillId="0" borderId="6" xfId="0" quotePrefix="1" applyFont="1" applyFill="1" applyBorder="1" applyAlignment="1" applyProtection="1">
      <alignment horizontal="center" vertical="top" wrapText="1"/>
      <protection locked="0"/>
    </xf>
    <xf numFmtId="49" fontId="48" fillId="0" borderId="6" xfId="0" applyNumberFormat="1" applyFont="1" applyFill="1" applyBorder="1" applyAlignment="1" applyProtection="1">
      <alignment horizontal="left" vertical="center"/>
    </xf>
    <xf numFmtId="0" fontId="49" fillId="5" borderId="0" xfId="0" applyFont="1" applyFill="1"/>
    <xf numFmtId="0" fontId="48" fillId="0" borderId="6" xfId="0" applyFont="1" applyFill="1" applyBorder="1" applyAlignment="1" applyProtection="1">
      <alignment horizontal="center" vertical="top" wrapText="1"/>
      <protection locked="0"/>
    </xf>
    <xf numFmtId="0" fontId="51" fillId="7" borderId="0" xfId="0" applyFont="1" applyFill="1"/>
    <xf numFmtId="0" fontId="51" fillId="7" borderId="0" xfId="0" applyFont="1" applyFill="1" applyAlignment="1">
      <alignment horizontal="left"/>
    </xf>
    <xf numFmtId="0" fontId="7" fillId="7" borderId="0" xfId="0" applyFont="1" applyFill="1" applyAlignment="1">
      <alignment horizontal="right"/>
    </xf>
    <xf numFmtId="0" fontId="8" fillId="7" borderId="0" xfId="0" applyFont="1" applyFill="1" applyAlignment="1">
      <alignment horizontal="left"/>
    </xf>
    <xf numFmtId="0" fontId="51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7" fillId="5" borderId="0" xfId="0" applyFont="1" applyFill="1" applyAlignment="1">
      <alignment horizontal="left"/>
    </xf>
    <xf numFmtId="179" fontId="7" fillId="5" borderId="0" xfId="0" applyNumberFormat="1" applyFont="1" applyFill="1"/>
    <xf numFmtId="0" fontId="7" fillId="15" borderId="0" xfId="0" applyFont="1" applyFill="1"/>
    <xf numFmtId="2" fontId="54" fillId="5" borderId="0" xfId="0" applyNumberFormat="1" applyFont="1" applyFill="1" applyAlignment="1">
      <alignment vertical="center" wrapText="1"/>
    </xf>
    <xf numFmtId="0" fontId="8" fillId="5" borderId="0" xfId="0" applyFont="1" applyFill="1" applyAlignment="1">
      <alignment horizontal="center"/>
    </xf>
    <xf numFmtId="0" fontId="55" fillId="17" borderId="15" xfId="0" applyFont="1" applyFill="1" applyBorder="1"/>
    <xf numFmtId="49" fontId="55" fillId="0" borderId="16" xfId="0" applyNumberFormat="1" applyFont="1" applyBorder="1"/>
    <xf numFmtId="49" fontId="55" fillId="0" borderId="16" xfId="0" applyNumberFormat="1" applyFont="1" applyFill="1" applyBorder="1" applyAlignment="1">
      <alignment horizontal="center"/>
    </xf>
    <xf numFmtId="49" fontId="55" fillId="0" borderId="16" xfId="0" applyNumberFormat="1" applyFont="1" applyBorder="1" applyAlignment="1">
      <alignment horizontal="center"/>
    </xf>
    <xf numFmtId="49" fontId="56" fillId="0" borderId="17" xfId="0" applyNumberFormat="1" applyFont="1" applyBorder="1" applyAlignment="1">
      <alignment horizontal="center"/>
    </xf>
    <xf numFmtId="0" fontId="0" fillId="0" borderId="18" xfId="0" applyBorder="1"/>
    <xf numFmtId="0" fontId="15" fillId="0" borderId="6" xfId="0" applyFont="1" applyBorder="1"/>
    <xf numFmtId="180" fontId="15" fillId="0" borderId="6" xfId="0" applyNumberFormat="1" applyFont="1" applyFill="1" applyBorder="1" applyAlignment="1">
      <alignment horizontal="center"/>
    </xf>
    <xf numFmtId="180" fontId="15" fillId="0" borderId="6" xfId="0" applyNumberFormat="1" applyFont="1" applyBorder="1" applyAlignment="1">
      <alignment horizontal="center"/>
    </xf>
    <xf numFmtId="180" fontId="8" fillId="0" borderId="19" xfId="0" applyNumberFormat="1" applyFont="1" applyBorder="1" applyAlignment="1">
      <alignment horizontal="center"/>
    </xf>
    <xf numFmtId="0" fontId="7" fillId="6" borderId="53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49" fontId="15" fillId="6" borderId="20" xfId="0" applyNumberFormat="1" applyFont="1" applyFill="1" applyBorder="1" applyAlignment="1">
      <alignment horizontal="center"/>
    </xf>
    <xf numFmtId="49" fontId="7" fillId="6" borderId="20" xfId="0" applyNumberFormat="1" applyFont="1" applyFill="1" applyBorder="1" applyAlignment="1">
      <alignment horizontal="center"/>
    </xf>
    <xf numFmtId="49" fontId="8" fillId="6" borderId="21" xfId="0" applyNumberFormat="1" applyFont="1" applyFill="1" applyBorder="1" applyAlignment="1">
      <alignment horizontal="center"/>
    </xf>
    <xf numFmtId="0" fontId="46" fillId="13" borderId="6" xfId="0" applyFont="1" applyFill="1" applyBorder="1" applyAlignment="1" applyProtection="1">
      <alignment horizontal="center" vertical="center" wrapText="1"/>
    </xf>
    <xf numFmtId="0" fontId="47" fillId="13" borderId="6" xfId="0" applyFont="1" applyFill="1" applyBorder="1" applyAlignment="1" applyProtection="1">
      <alignment horizontal="center" vertical="center" wrapText="1"/>
    </xf>
    <xf numFmtId="0" fontId="44" fillId="5" borderId="0" xfId="0" applyFont="1" applyFill="1" applyAlignment="1" applyProtection="1">
      <alignment horizontal="center" vertical="center"/>
    </xf>
    <xf numFmtId="0" fontId="44" fillId="5" borderId="9" xfId="0" applyFont="1" applyFill="1" applyBorder="1" applyAlignment="1" applyProtection="1">
      <alignment horizontal="center" vertical="center"/>
    </xf>
    <xf numFmtId="0" fontId="46" fillId="13" borderId="6" xfId="0" applyFont="1" applyFill="1" applyBorder="1" applyAlignment="1" applyProtection="1">
      <alignment horizontal="center" vertical="center"/>
    </xf>
    <xf numFmtId="0" fontId="47" fillId="13" borderId="6" xfId="0" applyFont="1" applyFill="1" applyBorder="1" applyAlignment="1" applyProtection="1">
      <alignment horizontal="center" vertical="center"/>
    </xf>
    <xf numFmtId="0" fontId="46" fillId="13" borderId="37" xfId="0" applyFont="1" applyFill="1" applyBorder="1" applyAlignment="1" applyProtection="1">
      <alignment horizontal="center" vertical="center" wrapText="1"/>
    </xf>
    <xf numFmtId="0" fontId="46" fillId="13" borderId="39" xfId="0" applyFont="1" applyFill="1" applyBorder="1" applyAlignment="1" applyProtection="1">
      <alignment horizontal="center" vertical="center" wrapText="1"/>
    </xf>
    <xf numFmtId="177" fontId="46" fillId="13" borderId="6" xfId="0" applyNumberFormat="1" applyFont="1" applyFill="1" applyBorder="1" applyAlignment="1" applyProtection="1">
      <alignment horizontal="center" vertical="center" wrapText="1"/>
    </xf>
    <xf numFmtId="177" fontId="47" fillId="13" borderId="6" xfId="0" applyNumberFormat="1" applyFont="1" applyFill="1" applyBorder="1" applyAlignment="1" applyProtection="1">
      <alignment horizontal="center" vertical="center" wrapText="1"/>
    </xf>
    <xf numFmtId="0" fontId="19" fillId="4" borderId="0" xfId="0" applyFont="1" applyFill="1" applyBorder="1" applyAlignment="1" applyProtection="1">
      <alignment horizontal="center" vertical="center"/>
    </xf>
    <xf numFmtId="0" fontId="19" fillId="4" borderId="0" xfId="0" applyFont="1" applyFill="1" applyAlignment="1" applyProtection="1">
      <alignment horizontal="center" vertical="center"/>
    </xf>
    <xf numFmtId="0" fontId="19" fillId="4" borderId="9" xfId="0" applyFont="1" applyFill="1" applyBorder="1" applyAlignment="1" applyProtection="1">
      <alignment horizontal="center" vertical="center"/>
    </xf>
    <xf numFmtId="0" fontId="52" fillId="5" borderId="0" xfId="0" applyFont="1" applyFill="1" applyAlignment="1">
      <alignment horizontal="center"/>
    </xf>
    <xf numFmtId="0" fontId="52" fillId="16" borderId="0" xfId="0" applyFont="1" applyFill="1" applyAlignment="1">
      <alignment horizontal="center" vertical="center"/>
    </xf>
    <xf numFmtId="49" fontId="7" fillId="5" borderId="33" xfId="0" applyNumberFormat="1" applyFont="1" applyFill="1" applyBorder="1" applyAlignment="1" applyProtection="1">
      <alignment horizontal="center" vertical="center"/>
    </xf>
    <xf numFmtId="49" fontId="7" fillId="5" borderId="32" xfId="0" applyNumberFormat="1" applyFont="1" applyFill="1" applyBorder="1" applyAlignment="1" applyProtection="1">
      <alignment horizontal="center" vertical="center"/>
    </xf>
    <xf numFmtId="49" fontId="7" fillId="5" borderId="31" xfId="0" applyNumberFormat="1" applyFont="1" applyFill="1" applyBorder="1" applyAlignment="1" applyProtection="1">
      <alignment horizontal="center" vertical="center"/>
    </xf>
    <xf numFmtId="49" fontId="7" fillId="5" borderId="30" xfId="0" applyNumberFormat="1" applyFont="1" applyFill="1" applyBorder="1" applyAlignment="1" applyProtection="1">
      <alignment horizontal="center" vertical="center"/>
    </xf>
    <xf numFmtId="49" fontId="7" fillId="5" borderId="37" xfId="0" applyNumberFormat="1" applyFont="1" applyFill="1" applyBorder="1" applyAlignment="1" applyProtection="1">
      <alignment horizontal="left" vertical="center" wrapText="1"/>
    </xf>
    <xf numFmtId="49" fontId="7" fillId="5" borderId="38" xfId="0" applyNumberFormat="1" applyFont="1" applyFill="1" applyBorder="1" applyAlignment="1" applyProtection="1">
      <alignment horizontal="left" vertical="center" wrapText="1"/>
    </xf>
    <xf numFmtId="49" fontId="7" fillId="5" borderId="39" xfId="0" applyNumberFormat="1" applyFont="1" applyFill="1" applyBorder="1" applyAlignment="1" applyProtection="1">
      <alignment horizontal="left" vertical="center" wrapText="1"/>
    </xf>
    <xf numFmtId="49" fontId="15" fillId="5" borderId="6" xfId="0" applyNumberFormat="1" applyFont="1" applyFill="1" applyBorder="1" applyAlignment="1" applyProtection="1">
      <alignment horizontal="left" vertical="center" wrapText="1"/>
    </xf>
    <xf numFmtId="49" fontId="7" fillId="5" borderId="6" xfId="0" applyNumberFormat="1" applyFont="1" applyFill="1" applyBorder="1" applyAlignment="1" applyProtection="1">
      <alignment horizontal="left" vertical="center" wrapText="1"/>
    </xf>
    <xf numFmtId="0" fontId="12" fillId="4" borderId="0" xfId="0" applyFont="1" applyFill="1" applyAlignment="1" applyProtection="1">
      <alignment horizontal="center" vertical="center"/>
    </xf>
    <xf numFmtId="0" fontId="33" fillId="5" borderId="52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0" fontId="35" fillId="0" borderId="29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10" borderId="8" xfId="0" applyFont="1" applyFill="1" applyBorder="1" applyAlignment="1">
      <alignment horizontal="center" vertical="center"/>
    </xf>
    <xf numFmtId="0" fontId="35" fillId="10" borderId="22" xfId="0" applyFont="1" applyFill="1" applyBorder="1" applyAlignment="1">
      <alignment horizontal="center" vertical="center"/>
    </xf>
    <xf numFmtId="0" fontId="35" fillId="10" borderId="9" xfId="0" applyFont="1" applyFill="1" applyBorder="1" applyAlignment="1">
      <alignment horizontal="center" vertical="center"/>
    </xf>
    <xf numFmtId="0" fontId="35" fillId="10" borderId="48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30" fillId="0" borderId="44" xfId="0" applyFont="1" applyBorder="1" applyAlignment="1">
      <alignment horizontal="center" vertical="center" textRotation="90"/>
    </xf>
    <xf numFmtId="0" fontId="30" fillId="0" borderId="45" xfId="0" applyFont="1" applyBorder="1" applyAlignment="1">
      <alignment horizontal="center" vertical="center" textRotation="90"/>
    </xf>
    <xf numFmtId="0" fontId="30" fillId="0" borderId="46" xfId="0" applyFont="1" applyBorder="1" applyAlignment="1">
      <alignment horizontal="center" vertical="center" textRotation="90"/>
    </xf>
    <xf numFmtId="0" fontId="30" fillId="0" borderId="1" xfId="0" applyFont="1" applyBorder="1" applyAlignment="1">
      <alignment horizontal="center" vertical="center" textRotation="90"/>
    </xf>
    <xf numFmtId="0" fontId="30" fillId="0" borderId="2" xfId="0" applyFont="1" applyBorder="1" applyAlignment="1">
      <alignment horizontal="center" vertical="center" textRotation="90"/>
    </xf>
    <xf numFmtId="0" fontId="30" fillId="0" borderId="3" xfId="0" applyFont="1" applyBorder="1" applyAlignment="1">
      <alignment horizontal="center" vertical="center" textRotation="90"/>
    </xf>
    <xf numFmtId="0" fontId="30" fillId="0" borderId="5" xfId="0" applyFont="1" applyBorder="1" applyAlignment="1">
      <alignment horizontal="center" vertical="center" textRotation="90"/>
    </xf>
    <xf numFmtId="0" fontId="37" fillId="0" borderId="23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5" borderId="29" xfId="0" applyFont="1" applyFill="1" applyBorder="1" applyAlignment="1">
      <alignment horizontal="center" vertical="center"/>
    </xf>
    <xf numFmtId="0" fontId="37" fillId="5" borderId="8" xfId="0" applyFont="1" applyFill="1" applyBorder="1" applyAlignment="1">
      <alignment horizontal="center" vertical="center"/>
    </xf>
    <xf numFmtId="0" fontId="37" fillId="5" borderId="22" xfId="0" applyFont="1" applyFill="1" applyBorder="1" applyAlignment="1">
      <alignment horizontal="center" vertical="center"/>
    </xf>
    <xf numFmtId="0" fontId="37" fillId="5" borderId="27" xfId="0" applyFont="1" applyFill="1" applyBorder="1" applyAlignment="1">
      <alignment horizontal="center" vertical="center"/>
    </xf>
    <xf numFmtId="0" fontId="37" fillId="5" borderId="0" xfId="0" applyFont="1" applyFill="1" applyBorder="1" applyAlignment="1">
      <alignment horizontal="center" vertical="center"/>
    </xf>
    <xf numFmtId="0" fontId="37" fillId="5" borderId="2" xfId="0" applyFont="1" applyFill="1" applyBorder="1" applyAlignment="1">
      <alignment horizontal="center" vertical="center"/>
    </xf>
    <xf numFmtId="0" fontId="37" fillId="5" borderId="50" xfId="0" applyFont="1" applyFill="1" applyBorder="1" applyAlignment="1">
      <alignment horizontal="center" vertical="center"/>
    </xf>
    <xf numFmtId="0" fontId="37" fillId="5" borderId="4" xfId="0" applyFont="1" applyFill="1" applyBorder="1" applyAlignment="1">
      <alignment horizontal="center" vertical="center"/>
    </xf>
    <xf numFmtId="0" fontId="37" fillId="5" borderId="5" xfId="0" applyFont="1" applyFill="1" applyBorder="1" applyAlignment="1">
      <alignment horizontal="center" vertical="center"/>
    </xf>
    <xf numFmtId="0" fontId="35" fillId="5" borderId="0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0" fontId="25" fillId="5" borderId="1" xfId="0" applyFont="1" applyFill="1" applyBorder="1" applyAlignment="1">
      <alignment horizontal="center" vertical="top" wrapText="1"/>
    </xf>
    <xf numFmtId="0" fontId="25" fillId="5" borderId="0" xfId="0" applyFont="1" applyFill="1" applyBorder="1" applyAlignment="1">
      <alignment horizontal="center" vertical="top" wrapText="1"/>
    </xf>
    <xf numFmtId="0" fontId="25" fillId="5" borderId="2" xfId="0" applyFont="1" applyFill="1" applyBorder="1" applyAlignment="1">
      <alignment horizontal="center" vertical="top" wrapText="1"/>
    </xf>
    <xf numFmtId="0" fontId="25" fillId="5" borderId="3" xfId="0" applyFont="1" applyFill="1" applyBorder="1" applyAlignment="1">
      <alignment horizontal="center" vertical="top" wrapText="1"/>
    </xf>
    <xf numFmtId="0" fontId="25" fillId="5" borderId="4" xfId="0" applyFont="1" applyFill="1" applyBorder="1" applyAlignment="1">
      <alignment horizontal="center" vertical="top" wrapText="1"/>
    </xf>
    <xf numFmtId="0" fontId="25" fillId="5" borderId="5" xfId="0" applyFont="1" applyFill="1" applyBorder="1" applyAlignment="1">
      <alignment horizontal="center" vertical="top" wrapText="1"/>
    </xf>
    <xf numFmtId="0" fontId="35" fillId="0" borderId="18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 wrapText="1"/>
    </xf>
    <xf numFmtId="0" fontId="41" fillId="5" borderId="0" xfId="0" applyFont="1" applyFill="1" applyBorder="1" applyAlignment="1">
      <alignment horizontal="center" vertical="center" wrapText="1"/>
    </xf>
    <xf numFmtId="0" fontId="41" fillId="5" borderId="2" xfId="0" applyFont="1" applyFill="1" applyBorder="1" applyAlignment="1">
      <alignment horizontal="center" vertical="center" wrapText="1"/>
    </xf>
    <xf numFmtId="0" fontId="41" fillId="5" borderId="3" xfId="0" applyFont="1" applyFill="1" applyBorder="1" applyAlignment="1">
      <alignment horizontal="center" vertical="center" wrapText="1"/>
    </xf>
    <xf numFmtId="0" fontId="41" fillId="5" borderId="4" xfId="0" applyFont="1" applyFill="1" applyBorder="1" applyAlignment="1">
      <alignment horizontal="center" vertical="center" wrapText="1"/>
    </xf>
    <xf numFmtId="0" fontId="41" fillId="5" borderId="5" xfId="0" applyFont="1" applyFill="1" applyBorder="1" applyAlignment="1">
      <alignment horizontal="center" vertical="center" wrapText="1"/>
    </xf>
    <xf numFmtId="0" fontId="35" fillId="5" borderId="45" xfId="0" applyFont="1" applyFill="1" applyBorder="1" applyAlignment="1">
      <alignment horizontal="center" vertical="center"/>
    </xf>
    <xf numFmtId="0" fontId="35" fillId="5" borderId="45" xfId="0" applyFont="1" applyFill="1" applyBorder="1" applyAlignment="1">
      <alignment horizontal="right" vertical="center"/>
    </xf>
    <xf numFmtId="0" fontId="37" fillId="0" borderId="51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7" fillId="5" borderId="9" xfId="0" applyFont="1" applyFill="1" applyBorder="1" applyAlignment="1">
      <alignment horizontal="center" vertical="center"/>
    </xf>
    <xf numFmtId="0" fontId="35" fillId="10" borderId="0" xfId="0" applyFont="1" applyFill="1" applyBorder="1" applyAlignment="1">
      <alignment horizontal="center" vertical="center"/>
    </xf>
    <xf numFmtId="0" fontId="35" fillId="10" borderId="26" xfId="0" applyFont="1" applyFill="1" applyBorder="1" applyAlignment="1">
      <alignment horizontal="center" vertical="center"/>
    </xf>
    <xf numFmtId="0" fontId="35" fillId="10" borderId="24" xfId="0" applyFont="1" applyFill="1" applyBorder="1" applyAlignment="1">
      <alignment horizontal="center" vertical="center"/>
    </xf>
    <xf numFmtId="0" fontId="38" fillId="5" borderId="27" xfId="0" applyFont="1" applyFill="1" applyBorder="1" applyAlignment="1">
      <alignment horizontal="center" vertical="center" wrapText="1"/>
    </xf>
    <xf numFmtId="0" fontId="38" fillId="5" borderId="0" xfId="0" applyFont="1" applyFill="1" applyBorder="1" applyAlignment="1">
      <alignment horizontal="center" vertical="center" wrapText="1"/>
    </xf>
    <xf numFmtId="0" fontId="38" fillId="5" borderId="2" xfId="0" applyFont="1" applyFill="1" applyBorder="1" applyAlignment="1">
      <alignment horizontal="center" vertical="center" wrapText="1"/>
    </xf>
    <xf numFmtId="0" fontId="38" fillId="5" borderId="9" xfId="0" applyFont="1" applyFill="1" applyBorder="1" applyAlignment="1">
      <alignment horizontal="center" vertical="center" wrapText="1"/>
    </xf>
    <xf numFmtId="0" fontId="38" fillId="5" borderId="48" xfId="0" applyFont="1" applyFill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5" fillId="5" borderId="4" xfId="0" applyFont="1" applyFill="1" applyBorder="1" applyAlignment="1">
      <alignment horizontal="center" vertical="center"/>
    </xf>
    <xf numFmtId="0" fontId="35" fillId="5" borderId="5" xfId="0" applyFont="1" applyFill="1" applyBorder="1" applyAlignment="1">
      <alignment horizontal="center" vertical="center"/>
    </xf>
    <xf numFmtId="0" fontId="35" fillId="10" borderId="4" xfId="0" applyFont="1" applyFill="1" applyBorder="1" applyAlignment="1">
      <alignment horizontal="center" vertical="center"/>
    </xf>
    <xf numFmtId="0" fontId="35" fillId="10" borderId="49" xfId="0" applyFont="1" applyFill="1" applyBorder="1" applyAlignment="1">
      <alignment horizontal="center" vertical="center"/>
    </xf>
    <xf numFmtId="0" fontId="38" fillId="5" borderId="36" xfId="0" applyFont="1" applyFill="1" applyBorder="1" applyAlignment="1">
      <alignment horizontal="center" vertical="center" wrapText="1"/>
    </xf>
    <xf numFmtId="0" fontId="38" fillId="5" borderId="35" xfId="0" applyFont="1" applyFill="1" applyBorder="1" applyAlignment="1">
      <alignment horizontal="center" vertical="center" wrapText="1"/>
    </xf>
    <xf numFmtId="0" fontId="38" fillId="5" borderId="34" xfId="0" applyFont="1" applyFill="1" applyBorder="1" applyAlignment="1">
      <alignment horizontal="center" vertical="center" wrapText="1"/>
    </xf>
    <xf numFmtId="0" fontId="38" fillId="5" borderId="3" xfId="0" applyFont="1" applyFill="1" applyBorder="1" applyAlignment="1">
      <alignment horizontal="center" vertical="center" wrapText="1"/>
    </xf>
    <xf numFmtId="0" fontId="38" fillId="5" borderId="4" xfId="0" applyFont="1" applyFill="1" applyBorder="1" applyAlignment="1">
      <alignment horizontal="center" vertical="center" wrapText="1"/>
    </xf>
    <xf numFmtId="0" fontId="38" fillId="5" borderId="5" xfId="0" applyFont="1" applyFill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 wrapText="1"/>
    </xf>
    <xf numFmtId="0" fontId="35" fillId="10" borderId="2" xfId="0" applyFont="1" applyFill="1" applyBorder="1" applyAlignment="1">
      <alignment horizontal="center" vertical="center"/>
    </xf>
    <xf numFmtId="0" fontId="30" fillId="0" borderId="36" xfId="0" applyFont="1" applyBorder="1" applyAlignment="1">
      <alignment horizontal="center" vertical="center" textRotation="90"/>
    </xf>
    <xf numFmtId="0" fontId="30" fillId="0" borderId="34" xfId="0" applyFont="1" applyBorder="1" applyAlignment="1">
      <alignment horizontal="center" vertical="center" textRotation="90"/>
    </xf>
    <xf numFmtId="0" fontId="30" fillId="0" borderId="35" xfId="0" applyFont="1" applyBorder="1" applyAlignment="1">
      <alignment horizontal="center" vertical="center" textRotation="90"/>
    </xf>
    <xf numFmtId="0" fontId="33" fillId="5" borderId="13" xfId="0" applyFont="1" applyFill="1" applyBorder="1" applyAlignment="1">
      <alignment horizontal="center" vertical="center"/>
    </xf>
    <xf numFmtId="0" fontId="35" fillId="5" borderId="35" xfId="0" applyFont="1" applyFill="1" applyBorder="1" applyAlignment="1">
      <alignment horizontal="center" vertical="center"/>
    </xf>
    <xf numFmtId="0" fontId="35" fillId="5" borderId="35" xfId="0" applyFont="1" applyFill="1" applyBorder="1" applyAlignment="1">
      <alignment horizontal="right" vertical="center"/>
    </xf>
    <xf numFmtId="0" fontId="21" fillId="4" borderId="0" xfId="0" applyFont="1" applyFill="1" applyAlignment="1">
      <alignment horizontal="center"/>
    </xf>
    <xf numFmtId="0" fontId="23" fillId="0" borderId="36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0" fontId="27" fillId="0" borderId="36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46" xfId="0" applyFont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left" vertical="center"/>
    </xf>
    <xf numFmtId="0" fontId="22" fillId="7" borderId="19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50" fillId="4" borderId="0" xfId="0" applyFont="1" applyFill="1" applyAlignment="1">
      <alignment horizontal="center" vertical="center"/>
    </xf>
  </cellXfs>
  <cellStyles count="5">
    <cellStyle name="Normal 4" xfId="2"/>
    <cellStyle name="標準 2" xfId="1"/>
    <cellStyle name="標準 3" xfId="3"/>
    <cellStyle name="標準 4" xfId="4"/>
    <cellStyle name="常规" xfId="0" builtinId="0"/>
  </cellStyles>
  <dxfs count="0"/>
  <tableStyles count="0" defaultTableStyle="TableStyleMedium2" defaultPivotStyle="PivotStyleMedium9"/>
  <colors>
    <mruColors>
      <color rgb="FFFFFF99"/>
      <color rgb="FFFFFF66"/>
      <color rgb="FFB8D1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5AF51A2-D7D5-4C13-9286-EC9D05D84C8E}" type="doc">
      <dgm:prSet loTypeId="urn:microsoft.com/office/officeart/2005/8/layout/vList5" loCatId="list" qsTypeId="urn:microsoft.com/office/officeart/2005/8/quickstyle/simple4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81FC71EC-0F81-4B64-A0D2-4D56B900EFB1}">
      <dgm:prSet phldrT="[Text]" custT="1"/>
      <dgm:spPr/>
      <dgm:t>
        <a:bodyPr/>
        <a:lstStyle/>
        <a:p>
          <a:r>
            <a:rPr lang="en-US" sz="1600" b="1" dirty="0" smtClean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OV50D40</a:t>
          </a:r>
        </a:p>
      </dgm:t>
    </dgm:pt>
    <dgm:pt modelId="{E52D49C2-9CAC-4AD2-A63A-A3CC7561D1A3}" type="sibTrans" cxnId="{9912B436-91E2-4501-A191-37E0B76CBD34}">
      <dgm:prSet/>
      <dgm:spPr/>
      <dgm:t>
        <a:bodyPr/>
        <a:lstStyle/>
        <a:p>
          <a:endParaRPr lang="en-US"/>
        </a:p>
      </dgm:t>
    </dgm:pt>
    <dgm:pt modelId="{4D7ABA10-3323-4C35-BCDA-B6A0AC3025E7}" type="parTrans" cxnId="{9912B436-91E2-4501-A191-37E0B76CBD34}">
      <dgm:prSet/>
      <dgm:spPr/>
      <dgm:t>
        <a:bodyPr/>
        <a:lstStyle/>
        <a:p>
          <a:endParaRPr lang="en-US"/>
        </a:p>
      </dgm:t>
    </dgm:pt>
    <dgm:pt modelId="{C5E390BC-B4B4-4E3F-BDF7-6643644DFD9D}">
      <dgm:prSet phldrT="[Text]" custT="1"/>
      <dgm:spPr/>
      <dgm:t>
        <a:bodyPr/>
        <a:lstStyle/>
        <a:p>
          <a:r>
            <a:rPr lang="en-US" sz="1400" i="0" dirty="0"/>
            <a:t>OV50D40 - 1/2.88" color CMOS 50 megapixel(8192x6144)image sensor with </a:t>
          </a:r>
          <a:r>
            <a:rPr lang="en-US" sz="1400">
              <a:solidFill>
                <a:schemeClr val="tx1"/>
              </a:solidFill>
              <a:ea typeface="ＭＳ Ｐゴシック" pitchFamily="50" charset="-128"/>
            </a:rPr>
            <a:t>PureCel®Plus-S technology</a:t>
          </a:r>
          <a:r>
            <a:rPr lang="en-US" sz="1400" i="0" dirty="0"/>
            <a:t> </a:t>
          </a:r>
        </a:p>
      </dgm:t>
    </dgm:pt>
    <dgm:pt modelId="{A4B84882-2F59-4783-90C1-66EAB45FD456}" type="sibTrans" cxnId="{12FDCE53-3D30-4E59-9235-D9899EC03CC4}">
      <dgm:prSet/>
      <dgm:spPr/>
      <dgm:t>
        <a:bodyPr/>
        <a:lstStyle/>
        <a:p>
          <a:endParaRPr lang="en-US"/>
        </a:p>
      </dgm:t>
    </dgm:pt>
    <dgm:pt modelId="{6305D356-6213-40A2-9AB6-472E382AAE3D}" type="parTrans" cxnId="{12FDCE53-3D30-4E59-9235-D9899EC03CC4}">
      <dgm:prSet/>
      <dgm:spPr/>
      <dgm:t>
        <a:bodyPr/>
        <a:lstStyle/>
        <a:p>
          <a:endParaRPr lang="en-US"/>
        </a:p>
      </dgm:t>
    </dgm:pt>
    <dgm:pt modelId="{4B742B1E-1D11-4EBE-83E1-E2A4B9238951}" type="pres">
      <dgm:prSet presAssocID="{A5AF51A2-D7D5-4C13-9286-EC9D05D84C8E}" presName="Name0" presStyleCnt="0">
        <dgm:presLayoutVars>
          <dgm:dir/>
          <dgm:animLvl val="lvl"/>
          <dgm:resizeHandles val="exact"/>
        </dgm:presLayoutVars>
      </dgm:prSet>
      <dgm:spPr/>
      <dgm:t>
        <a:bodyPr/>
        <a:lstStyle/>
        <a:p>
          <a:endParaRPr lang="en-US"/>
        </a:p>
      </dgm:t>
    </dgm:pt>
    <dgm:pt modelId="{CDB93C34-9185-414B-A4C5-10192D5A82A7}" type="pres">
      <dgm:prSet presAssocID="{81FC71EC-0F81-4B64-A0D2-4D56B900EFB1}" presName="linNode" presStyleCnt="0"/>
      <dgm:spPr/>
    </dgm:pt>
    <dgm:pt modelId="{A8A09360-E753-4B04-A65A-945BE5CF9C88}" type="pres">
      <dgm:prSet presAssocID="{81FC71EC-0F81-4B64-A0D2-4D56B900EFB1}" presName="parentText" presStyleLbl="node1" presStyleIdx="0" presStyleCnt="1" custScaleX="40250">
        <dgm:presLayoutVars>
          <dgm:chMax val="1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825FD393-5749-4480-A35B-06206C904664}" type="pres">
      <dgm:prSet presAssocID="{81FC71EC-0F81-4B64-A0D2-4D56B900EFB1}" presName="descendantText" presStyleLbl="alignAccFollowNode1" presStyleIdx="0" presStyleCnt="1" custScaleX="145138" custScaleY="125000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70C85EF7-E6C2-4BA2-9661-6F908E373088}" type="presOf" srcId="{C5E390BC-B4B4-4E3F-BDF7-6643644DFD9D}" destId="{825FD393-5749-4480-A35B-06206C904664}" srcOrd="0" destOrd="0" presId="urn:microsoft.com/office/officeart/2005/8/layout/vList5"/>
    <dgm:cxn modelId="{28806D2F-69A0-4778-B89A-C0133A096707}" type="presOf" srcId="{81FC71EC-0F81-4B64-A0D2-4D56B900EFB1}" destId="{A8A09360-E753-4B04-A65A-945BE5CF9C88}" srcOrd="0" destOrd="0" presId="urn:microsoft.com/office/officeart/2005/8/layout/vList5"/>
    <dgm:cxn modelId="{B277989B-9C40-45CB-9CF9-00AC88CFD48B}" type="presOf" srcId="{A5AF51A2-D7D5-4C13-9286-EC9D05D84C8E}" destId="{4B742B1E-1D11-4EBE-83E1-E2A4B9238951}" srcOrd="0" destOrd="0" presId="urn:microsoft.com/office/officeart/2005/8/layout/vList5"/>
    <dgm:cxn modelId="{12FDCE53-3D30-4E59-9235-D9899EC03CC4}" srcId="{81FC71EC-0F81-4B64-A0D2-4D56B900EFB1}" destId="{C5E390BC-B4B4-4E3F-BDF7-6643644DFD9D}" srcOrd="0" destOrd="0" parTransId="{6305D356-6213-40A2-9AB6-472E382AAE3D}" sibTransId="{A4B84882-2F59-4783-90C1-66EAB45FD456}"/>
    <dgm:cxn modelId="{9912B436-91E2-4501-A191-37E0B76CBD34}" srcId="{A5AF51A2-D7D5-4C13-9286-EC9D05D84C8E}" destId="{81FC71EC-0F81-4B64-A0D2-4D56B900EFB1}" srcOrd="0" destOrd="0" parTransId="{4D7ABA10-3323-4C35-BCDA-B6A0AC3025E7}" sibTransId="{E52D49C2-9CAC-4AD2-A63A-A3CC7561D1A3}"/>
    <dgm:cxn modelId="{72BC37E6-33BA-443F-8625-7C143CDDAE59}" type="presParOf" srcId="{4B742B1E-1D11-4EBE-83E1-E2A4B9238951}" destId="{CDB93C34-9185-414B-A4C5-10192D5A82A7}" srcOrd="0" destOrd="0" presId="urn:microsoft.com/office/officeart/2005/8/layout/vList5"/>
    <dgm:cxn modelId="{CD7E51A5-8DA9-4F06-9B3C-8482174F24B3}" type="presParOf" srcId="{CDB93C34-9185-414B-A4C5-10192D5A82A7}" destId="{A8A09360-E753-4B04-A65A-945BE5CF9C88}" srcOrd="0" destOrd="0" presId="urn:microsoft.com/office/officeart/2005/8/layout/vList5"/>
    <dgm:cxn modelId="{4FAA480E-744B-43E0-AA08-CD44B934CDE7}" type="presParOf" srcId="{CDB93C34-9185-414B-A4C5-10192D5A82A7}" destId="{825FD393-5749-4480-A35B-06206C904664}" srcOrd="1" destOrd="0" presId="urn:microsoft.com/office/officeart/2005/8/layout/vList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25FD393-5749-4480-A35B-06206C904664}">
      <dsp:nvSpPr>
        <dsp:cNvPr id="0" name=""/>
        <dsp:cNvSpPr/>
      </dsp:nvSpPr>
      <dsp:spPr>
        <a:xfrm rot="5400000">
          <a:off x="4287689" y="-3150427"/>
          <a:ext cx="971551" cy="7272405"/>
        </a:xfrm>
        <a:prstGeom prst="round2SameRect">
          <a:avLst/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9525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47650" tIns="123825" rIns="247650" bIns="123825" numCol="1" spcCol="1270" anchor="ctr" anchorCtr="0">
          <a:noAutofit/>
        </a:bodyPr>
        <a:lstStyle/>
        <a:p>
          <a:pPr marL="114300" lvl="1" indent="-114300" algn="l" defTabSz="6223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•"/>
          </a:pPr>
          <a:r>
            <a:rPr lang="en-US" sz="1400" i="0" kern="1200" dirty="0"/>
            <a:t>OV50D40 - 1/2.88" color CMOS 50 megapixel(8192x6144)image sensor with </a:t>
          </a:r>
          <a:r>
            <a:rPr lang="en-US" sz="1400" kern="1200">
              <a:solidFill>
                <a:schemeClr val="tx1"/>
              </a:solidFill>
              <a:ea typeface="ＭＳ Ｐゴシック" pitchFamily="50" charset="-128"/>
            </a:rPr>
            <a:t>PureCel®Plus-S technology</a:t>
          </a:r>
          <a:r>
            <a:rPr lang="en-US" sz="1400" i="0" kern="1200" dirty="0"/>
            <a:t> </a:t>
          </a:r>
        </a:p>
      </dsp:txBody>
      <dsp:txXfrm rot="-5400000">
        <a:off x="1137263" y="47426"/>
        <a:ext cx="7224978" cy="876697"/>
      </dsp:txXfrm>
    </dsp:sp>
    <dsp:sp modelId="{A8A09360-E753-4B04-A65A-945BE5CF9C88}">
      <dsp:nvSpPr>
        <dsp:cNvPr id="0" name=""/>
        <dsp:cNvSpPr/>
      </dsp:nvSpPr>
      <dsp:spPr>
        <a:xfrm>
          <a:off x="2812" y="0"/>
          <a:ext cx="1134450" cy="971551"/>
        </a:xfrm>
        <a:prstGeom prst="round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60960" tIns="30480" rIns="60960" bIns="30480" numCol="1" spcCol="1270" anchor="ctr" anchorCtr="0">
          <a:noAutofit/>
        </a:bodyPr>
        <a:lstStyle/>
        <a:p>
          <a:pPr lvl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1600" b="1" kern="1200" dirty="0" smtClean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OV50D40</a:t>
          </a:r>
        </a:p>
      </dsp:txBody>
      <dsp:txXfrm>
        <a:off x="50239" y="47427"/>
        <a:ext cx="1039596" cy="87669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5">
  <dgm:title val=""/>
  <dgm:desc val=""/>
  <dgm:catLst>
    <dgm:cat type="list" pri="15000"/>
    <dgm:cat type="convert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  <dgm:cxn modelId="13" srcId="1" destId="11" srcOrd="0" destOrd="0"/>
        <dgm:cxn modelId="14" srcId="1" destId="12" srcOrd="1" destOrd="0"/>
        <dgm:cxn modelId="23" srcId="2" destId="21" srcOrd="0" destOrd="0"/>
        <dgm:cxn modelId="24" srcId="2" destId="22" srcOrd="1" destOrd="0"/>
        <dgm:cxn modelId="33" srcId="3" destId="31" srcOrd="0" destOrd="0"/>
        <dgm:cxn modelId="34" srcId="3" destId="3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lin">
          <dgm:param type="linDir" val="fromT"/>
          <dgm:param type="nodeHorzAlign" val="l"/>
        </dgm:alg>
      </dgm:if>
      <dgm:else name="Name3">
        <dgm:alg type="lin">
          <dgm:param type="linDir" val="fromT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ch" forName="linNode" refType="h"/>
      <dgm:constr type="w" for="ch" forName="linNode" refType="w"/>
      <dgm:constr type="h" for="ch" forName="sp" refType="h" fact="0.05"/>
      <dgm:constr type="primFontSz" for="des" forName="parentText" op="equ" val="65"/>
      <dgm:constr type="secFontSz" for="des" forName="descendantText" op="equ"/>
    </dgm:constrLst>
    <dgm:ruleLst/>
    <dgm:forEach name="Name4" axis="ch" ptType="node">
      <dgm:layoutNode name="linNode">
        <dgm:choose name="Name5">
          <dgm:if name="Name6" func="var" arg="dir" op="equ" val="norm">
            <dgm:alg type="lin">
              <dgm:param type="linDir" val="fromL"/>
            </dgm:alg>
          </dgm:if>
          <dgm:else name="Name7">
            <dgm:alg type="lin">
              <dgm:param type="linDir" val="fromR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w" for="ch" forName="parentText" refType="w" fact="0.36"/>
          <dgm:constr type="w" for="ch" forName="descendantText" refType="w" fact="0.64"/>
          <dgm:constr type="h" for="ch" forName="parentText" refType="h"/>
          <dgm:constr type="h" for="ch" forName="descendantText" refType="h" refFor="ch" refForName="parentText" fact="0.8"/>
        </dgm:constrLst>
        <dgm:ruleLst/>
        <dgm:layoutNode name="parentText">
          <dgm:varLst>
            <dgm:chMax val="1"/>
            <dgm:bulletEnabled val="1"/>
          </dgm:varLst>
          <dgm:alg type="tx"/>
          <dgm:shape xmlns:r="http://schemas.openxmlformats.org/officeDocument/2006/relationships" type="roundRect" r:blip="" zOrderOff="3">
            <dgm:adjLst/>
          </dgm:shape>
          <dgm:presOf axis="self" ptType="node"/>
          <dgm:constrLst>
            <dgm:constr type="tMarg" refType="primFontSz" fact="0.15"/>
            <dgm:constr type="bMarg" refType="primFontSz" fact="0.15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choose name="Name8">
          <dgm:if name="Name9" axis="ch" ptType="node" func="cnt" op="gte" val="1">
            <dgm:layoutNode name="descendantText" styleLbl="alignAccFollowNode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choose name="Name10">
                <dgm:if name="Name11" func="var" arg="dir" op="equ" val="norm">
                  <dgm:shape xmlns:r="http://schemas.openxmlformats.org/officeDocument/2006/relationships" rot="90" type="round2SameRect" r:blip="">
                    <dgm:adjLst/>
                  </dgm:shape>
                </dgm:if>
                <dgm:else name="Name12">
                  <dgm:shape xmlns:r="http://schemas.openxmlformats.org/officeDocument/2006/relationships" rot="-90" type="round2SameRect" r:blip="">
                    <dgm:adjLst/>
                  </dgm:shape>
                </dgm:else>
              </dgm:choose>
              <dgm:presOf axis="des" ptType="node"/>
              <dgm:constrLst>
                <dgm:constr type="secFontSz" val="65"/>
                <dgm:constr type="primFontSz" refType="secFontSz"/>
                <dgm:constr type="lMarg" refType="secFontSz" fact="0.3"/>
                <dgm:constr type="rMarg" refType="secFontSz" fact="0.3"/>
                <dgm:constr type="tMarg" refType="secFontSz" fact="0.15"/>
                <dgm:constr type="bMarg" refType="secFontSz" fact="0.15"/>
              </dgm:constrLst>
              <dgm:ruleLst>
                <dgm:rule type="secFontSz" val="5" fact="NaN" max="NaN"/>
              </dgm:ruleLst>
            </dgm:layoutNode>
          </dgm:if>
          <dgm:else name="Name13"/>
        </dgm:choose>
      </dgm:layoutNode>
      <dgm:forEach name="Name14" axis="followSib" ptType="sibTrans" cnt="1">
        <dgm:layoutNode name="sp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4">
  <dgm:title val=""/>
  <dgm:desc val=""/>
  <dgm:catLst>
    <dgm:cat type="simple" pri="104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0</xdr:row>
      <xdr:rowOff>0</xdr:rowOff>
    </xdr:from>
    <xdr:to>
      <xdr:col>12</xdr:col>
      <xdr:colOff>183515</xdr:colOff>
      <xdr:row>5</xdr:row>
      <xdr:rowOff>148590</xdr:rowOff>
    </xdr:to>
    <xdr:sp macro="" textlink="">
      <xdr:nvSpPr>
        <xdr:cNvPr id="2" name="Title 1"/>
        <xdr:cNvSpPr>
          <a:spLocks noGrp="1"/>
        </xdr:cNvSpPr>
      </xdr:nvSpPr>
      <xdr:spPr bwMode="auto">
        <a:xfrm>
          <a:off x="635" y="0"/>
          <a:ext cx="8412480" cy="1005840"/>
        </a:xfrm>
        <a:prstGeom prst="rect">
          <a:avLst/>
        </a:prstGeom>
        <a:noFill/>
        <a:ln>
          <a:miter lim="800000"/>
          <a:headEnd/>
          <a:tailEnd/>
        </a:ln>
      </xdr:spPr>
      <xdr:txBody>
        <a:bodyPr vert="horz" wrap="square" lIns="0" tIns="0" rIns="0" bIns="0" numCol="1" anchor="t" anchorCtr="0" compatLnSpc="1">
          <a:prstTxWarp prst="textNoShape">
            <a:avLst/>
          </a:prstTxWarp>
        </a:bodyPr>
        <a:lstStyle>
          <a:lvl1pPr marL="0" algn="l" defTabSz="457200" rtl="0" eaLnBrk="1" fontAlgn="base" hangingPunct="1">
            <a:spcBef>
              <a:spcPct val="0"/>
            </a:spcBef>
            <a:spcAft>
              <a:spcPct val="0"/>
            </a:spcAft>
            <a:defRPr sz="3200" kern="1200">
              <a:solidFill>
                <a:srgbClr val="003478"/>
              </a:solidFill>
              <a:latin typeface="Arial"/>
              <a:ea typeface="ＭＳ Ｐゴシック" pitchFamily="30" charset="-128"/>
              <a:cs typeface="Arial"/>
            </a:defRPr>
          </a:lvl1pPr>
          <a:lvl2pPr marL="2270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2pPr>
          <a:lvl3pPr marL="2270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3pPr>
          <a:lvl4pPr marL="2270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4pPr>
          <a:lvl5pPr marL="2270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5pPr>
          <a:lvl6pPr marL="6842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6pPr>
          <a:lvl7pPr marL="11414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7pPr>
          <a:lvl8pPr marL="15986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8pPr>
          <a:lvl9pPr marL="2055813" algn="l" defTabSz="457200" rtl="0" eaLnBrk="1" fontAlgn="base" hangingPunct="1">
            <a:spcBef>
              <a:spcPct val="0"/>
            </a:spcBef>
            <a:spcAft>
              <a:spcPct val="0"/>
            </a:spcAft>
            <a:defRPr sz="3200">
              <a:solidFill>
                <a:srgbClr val="003478"/>
              </a:solidFill>
              <a:latin typeface="Arial" pitchFamily="34" charset="0"/>
              <a:ea typeface="ＭＳ Ｐゴシック" pitchFamily="30" charset="-128"/>
            </a:defRPr>
          </a:lvl9pPr>
        </a:lstStyle>
        <a:p>
          <a:r>
            <a:rPr lang="en-US">
              <a:latin typeface="Arial" pitchFamily="34" charset="0"/>
              <a:cs typeface="Arial" pitchFamily="34" charset="0"/>
            </a:rPr>
            <a:t>Product overview</a:t>
          </a:r>
          <a:endParaRPr lang="en-US" sz="2400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0</xdr:colOff>
      <xdr:row>11</xdr:row>
      <xdr:rowOff>125730</xdr:rowOff>
    </xdr:from>
    <xdr:to>
      <xdr:col>3</xdr:col>
      <xdr:colOff>320040</xdr:colOff>
      <xdr:row>13</xdr:row>
      <xdr:rowOff>148590</xdr:rowOff>
    </xdr:to>
    <xdr:sp macro="" textlink="">
      <xdr:nvSpPr>
        <xdr:cNvPr id="3" name="Frame 2"/>
        <xdr:cNvSpPr/>
      </xdr:nvSpPr>
      <xdr:spPr>
        <a:xfrm>
          <a:off x="0" y="2011680"/>
          <a:ext cx="2377440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</a:rPr>
            <a:t>Frame Rates (max)</a:t>
          </a:r>
        </a:p>
      </xdr:txBody>
    </xdr:sp>
    <xdr:clientData/>
  </xdr:twoCellAnchor>
  <xdr:twoCellAnchor>
    <xdr:from>
      <xdr:col>3</xdr:col>
      <xdr:colOff>412115</xdr:colOff>
      <xdr:row>11</xdr:row>
      <xdr:rowOff>125730</xdr:rowOff>
    </xdr:from>
    <xdr:to>
      <xdr:col>7</xdr:col>
      <xdr:colOff>502603</xdr:colOff>
      <xdr:row>13</xdr:row>
      <xdr:rowOff>148590</xdr:rowOff>
    </xdr:to>
    <xdr:sp macro="" textlink="">
      <xdr:nvSpPr>
        <xdr:cNvPr id="4" name="Frame 3"/>
        <xdr:cNvSpPr/>
      </xdr:nvSpPr>
      <xdr:spPr>
        <a:xfrm>
          <a:off x="2469515" y="2011680"/>
          <a:ext cx="2833688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</a:rPr>
            <a:t>Key Features</a:t>
          </a:r>
        </a:p>
      </xdr:txBody>
    </xdr:sp>
    <xdr:clientData/>
  </xdr:twoCellAnchor>
  <xdr:twoCellAnchor>
    <xdr:from>
      <xdr:col>7</xdr:col>
      <xdr:colOff>595313</xdr:colOff>
      <xdr:row>11</xdr:row>
      <xdr:rowOff>125730</xdr:rowOff>
    </xdr:from>
    <xdr:to>
      <xdr:col>12</xdr:col>
      <xdr:colOff>184150</xdr:colOff>
      <xdr:row>13</xdr:row>
      <xdr:rowOff>148590</xdr:rowOff>
    </xdr:to>
    <xdr:sp macro="" textlink="">
      <xdr:nvSpPr>
        <xdr:cNvPr id="5" name="Frame 4"/>
        <xdr:cNvSpPr/>
      </xdr:nvSpPr>
      <xdr:spPr>
        <a:xfrm>
          <a:off x="5395913" y="2011680"/>
          <a:ext cx="3017837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</a:rPr>
            <a:t>Standard Features</a:t>
          </a:r>
        </a:p>
      </xdr:txBody>
    </xdr:sp>
    <xdr:clientData/>
  </xdr:twoCellAnchor>
  <xdr:twoCellAnchor>
    <xdr:from>
      <xdr:col>0</xdr:col>
      <xdr:colOff>0</xdr:colOff>
      <xdr:row>13</xdr:row>
      <xdr:rowOff>148590</xdr:rowOff>
    </xdr:from>
    <xdr:to>
      <xdr:col>3</xdr:col>
      <xdr:colOff>320040</xdr:colOff>
      <xdr:row>23</xdr:row>
      <xdr:rowOff>47625</xdr:rowOff>
    </xdr:to>
    <xdr:sp macro="" textlink="">
      <xdr:nvSpPr>
        <xdr:cNvPr id="6" name="Rectangle 5"/>
        <xdr:cNvSpPr/>
      </xdr:nvSpPr>
      <xdr:spPr>
        <a:xfrm>
          <a:off x="0" y="2377440"/>
          <a:ext cx="2377440" cy="1613535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12.5MP(4:3) 	48 fps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9MP(16:9)   60 fps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4K2K             60fps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1080P           240fps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720P             360fps</a:t>
          </a:r>
        </a:p>
      </xdr:txBody>
    </xdr:sp>
    <xdr:clientData/>
  </xdr:twoCellAnchor>
  <xdr:twoCellAnchor>
    <xdr:from>
      <xdr:col>3</xdr:col>
      <xdr:colOff>412115</xdr:colOff>
      <xdr:row>13</xdr:row>
      <xdr:rowOff>148590</xdr:rowOff>
    </xdr:from>
    <xdr:to>
      <xdr:col>7</xdr:col>
      <xdr:colOff>502603</xdr:colOff>
      <xdr:row>23</xdr:row>
      <xdr:rowOff>80010</xdr:rowOff>
    </xdr:to>
    <xdr:sp macro="" textlink="">
      <xdr:nvSpPr>
        <xdr:cNvPr id="7" name="Rectangle 6"/>
        <xdr:cNvSpPr/>
      </xdr:nvSpPr>
      <xdr:spPr>
        <a:xfrm>
          <a:off x="2469515" y="2377440"/>
          <a:ext cx="2833688" cy="164592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  <a:ea typeface="ＭＳ Ｐゴシック" pitchFamily="50" charset="-128"/>
            </a:rPr>
            <a:t>4C : 0.612 µm PureCel®Plus-S technology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  <a:ea typeface="ＭＳ Ｐゴシック" pitchFamily="50" charset="-128"/>
            </a:rPr>
            <a:t>HDR : Staggered HDR timing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  <a:ea typeface="ＭＳ Ｐゴシック" pitchFamily="50" charset="-128"/>
            </a:rPr>
            <a:t>Always-On – ULPS/SPI</a:t>
          </a:r>
          <a:r>
            <a:rPr lang="en-US" sz="1200" baseline="0">
              <a:solidFill>
                <a:schemeClr val="tx1"/>
              </a:solidFill>
              <a:ea typeface="ＭＳ Ｐゴシック" pitchFamily="50" charset="-128"/>
            </a:rPr>
            <a:t> and ALS mode</a:t>
          </a:r>
          <a:endParaRPr lang="en-US" sz="1200">
            <a:solidFill>
              <a:schemeClr val="tx1"/>
            </a:solidFill>
            <a:ea typeface="ＭＳ Ｐゴシック" pitchFamily="50" charset="-128"/>
          </a:endParaRP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  <a:ea typeface="ＭＳ Ｐゴシック" pitchFamily="50" charset="-128"/>
            </a:rPr>
            <a:t>Dual DOVDD support 1.8V &amp; 1.2V</a:t>
          </a:r>
        </a:p>
      </xdr:txBody>
    </xdr:sp>
    <xdr:clientData/>
  </xdr:twoCellAnchor>
  <xdr:twoCellAnchor>
    <xdr:from>
      <xdr:col>7</xdr:col>
      <xdr:colOff>595313</xdr:colOff>
      <xdr:row>13</xdr:row>
      <xdr:rowOff>148590</xdr:rowOff>
    </xdr:from>
    <xdr:to>
      <xdr:col>12</xdr:col>
      <xdr:colOff>184150</xdr:colOff>
      <xdr:row>23</xdr:row>
      <xdr:rowOff>80010</xdr:rowOff>
    </xdr:to>
    <xdr:sp macro="" textlink="">
      <xdr:nvSpPr>
        <xdr:cNvPr id="8" name="Rectangle 7"/>
        <xdr:cNvSpPr/>
      </xdr:nvSpPr>
      <xdr:spPr>
        <a:xfrm>
          <a:off x="5395913" y="2377440"/>
          <a:ext cx="3017837" cy="164592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Always on syst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  <a:ea typeface="ＭＳ Ｐゴシック" pitchFamily="50" charset="-128"/>
            </a:rPr>
            <a:t>DPC dynamic and static</a:t>
          </a:r>
          <a:endParaRPr lang="en-US" sz="1200">
            <a:solidFill>
              <a:schemeClr val="tx1"/>
            </a:solidFill>
          </a:endParaRP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  <a:ea typeface="ＭＳ Ｐゴシック" pitchFamily="50" charset="-128"/>
            </a:rPr>
            <a:t>62x analog gain </a:t>
          </a:r>
          <a:endParaRPr lang="en-US" sz="1200">
            <a:solidFill>
              <a:schemeClr val="tx1"/>
            </a:solidFill>
          </a:endParaRP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2x2 binning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Automatic BLC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Xenon and LED flash strobe</a:t>
          </a:r>
        </a:p>
      </xdr:txBody>
    </xdr:sp>
    <xdr:clientData/>
  </xdr:twoCellAnchor>
  <xdr:twoCellAnchor>
    <xdr:from>
      <xdr:col>0</xdr:col>
      <xdr:colOff>0</xdr:colOff>
      <xdr:row>24</xdr:row>
      <xdr:rowOff>0</xdr:rowOff>
    </xdr:from>
    <xdr:to>
      <xdr:col>2</xdr:col>
      <xdr:colOff>549275</xdr:colOff>
      <xdr:row>26</xdr:row>
      <xdr:rowOff>22860</xdr:rowOff>
    </xdr:to>
    <xdr:sp macro="" textlink="">
      <xdr:nvSpPr>
        <xdr:cNvPr id="9" name="Frame 8"/>
        <xdr:cNvSpPr/>
      </xdr:nvSpPr>
      <xdr:spPr>
        <a:xfrm>
          <a:off x="0" y="4114800"/>
          <a:ext cx="1920875" cy="365760"/>
        </a:xfrm>
        <a:prstGeom prst="frame">
          <a:avLst/>
        </a:prstGeom>
        <a:gradFill>
          <a:gsLst>
            <a:gs pos="0">
              <a:schemeClr val="accent1">
                <a:tint val="100000"/>
                <a:shade val="100000"/>
                <a:satMod val="130000"/>
              </a:schemeClr>
            </a:gs>
            <a:gs pos="100000">
              <a:schemeClr val="accent1">
                <a:tint val="50000"/>
                <a:shade val="100000"/>
                <a:satMod val="350000"/>
              </a:schemeClr>
            </a:gs>
          </a:gsLst>
          <a:lin ang="16200000" scaled="0"/>
        </a:gradFill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  <a:cs typeface="Arial" pitchFamily="34" charset="0"/>
            </a:rPr>
            <a:t>Power</a:t>
          </a:r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26</xdr:row>
      <xdr:rowOff>22860</xdr:rowOff>
    </xdr:from>
    <xdr:to>
      <xdr:col>2</xdr:col>
      <xdr:colOff>549275</xdr:colOff>
      <xdr:row>33</xdr:row>
      <xdr:rowOff>11430</xdr:rowOff>
    </xdr:to>
    <xdr:sp macro="" textlink="">
      <xdr:nvSpPr>
        <xdr:cNvPr id="10" name="Rectangle 9"/>
        <xdr:cNvSpPr/>
      </xdr:nvSpPr>
      <xdr:spPr>
        <a:xfrm>
          <a:off x="0" y="4480560"/>
          <a:ext cx="1920875" cy="118872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Analog: 	2.8V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Digital: 	1.1V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IO:		1.8V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Power</a:t>
          </a:r>
          <a:br>
            <a:rPr lang="en-US" sz="1200">
              <a:solidFill>
                <a:schemeClr val="tx1"/>
              </a:solidFill>
            </a:rPr>
          </a:br>
          <a:r>
            <a:rPr lang="en-US" sz="1200">
              <a:solidFill>
                <a:schemeClr val="tx1"/>
              </a:solidFill>
            </a:rPr>
            <a:t>380mW 12M@48fps</a:t>
          </a:r>
        </a:p>
      </xdr:txBody>
    </xdr:sp>
    <xdr:clientData/>
  </xdr:twoCellAnchor>
  <xdr:twoCellAnchor>
    <xdr:from>
      <xdr:col>2</xdr:col>
      <xdr:colOff>641350</xdr:colOff>
      <xdr:row>24</xdr:row>
      <xdr:rowOff>0</xdr:rowOff>
    </xdr:from>
    <xdr:to>
      <xdr:col>5</xdr:col>
      <xdr:colOff>595630</xdr:colOff>
      <xdr:row>26</xdr:row>
      <xdr:rowOff>22860</xdr:rowOff>
    </xdr:to>
    <xdr:sp macro="" textlink="">
      <xdr:nvSpPr>
        <xdr:cNvPr id="11" name="Frame 10"/>
        <xdr:cNvSpPr/>
      </xdr:nvSpPr>
      <xdr:spPr>
        <a:xfrm>
          <a:off x="2012950" y="4114800"/>
          <a:ext cx="2011680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  <a:cs typeface="Arial" pitchFamily="34" charset="0"/>
            </a:rPr>
            <a:t>Interface/Optical</a:t>
          </a:r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641350</xdr:colOff>
      <xdr:row>26</xdr:row>
      <xdr:rowOff>22860</xdr:rowOff>
    </xdr:from>
    <xdr:to>
      <xdr:col>5</xdr:col>
      <xdr:colOff>595630</xdr:colOff>
      <xdr:row>33</xdr:row>
      <xdr:rowOff>11430</xdr:rowOff>
    </xdr:to>
    <xdr:sp macro="" textlink="">
      <xdr:nvSpPr>
        <xdr:cNvPr id="12" name="Rectangle 11"/>
        <xdr:cNvSpPr/>
      </xdr:nvSpPr>
      <xdr:spPr>
        <a:xfrm>
          <a:off x="2012950" y="4480560"/>
          <a:ext cx="2011680" cy="118872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MIPI: 4lane</a:t>
          </a:r>
          <a:r>
            <a:rPr lang="en-US" sz="1200" baseline="0">
              <a:solidFill>
                <a:schemeClr val="tx1"/>
              </a:solidFill>
            </a:rPr>
            <a:t> D-PHY 2.4Gbps/lane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 baseline="0">
              <a:solidFill>
                <a:schemeClr val="tx1"/>
              </a:solidFill>
            </a:rPr>
            <a:t>MIPI: 2/3trio C-PHY 1.4Gsps/lane</a:t>
          </a:r>
          <a:endParaRPr lang="en-US" sz="1200">
            <a:solidFill>
              <a:schemeClr val="tx1"/>
            </a:solidFill>
          </a:endParaRP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10-bit RGB</a:t>
          </a:r>
          <a:r>
            <a:rPr lang="en-US" sz="1200" baseline="0">
              <a:solidFill>
                <a:schemeClr val="tx1"/>
              </a:solidFill>
            </a:rPr>
            <a:t> Bayer pattern</a:t>
          </a:r>
          <a:endParaRPr lang="en-US" sz="1200">
            <a:solidFill>
              <a:schemeClr val="tx1"/>
            </a:solidFill>
          </a:endParaRP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CRA: 34.38°</a:t>
          </a:r>
        </a:p>
      </xdr:txBody>
    </xdr:sp>
    <xdr:clientData/>
  </xdr:twoCellAnchor>
  <xdr:twoCellAnchor>
    <xdr:from>
      <xdr:col>6</xdr:col>
      <xdr:colOff>635</xdr:colOff>
      <xdr:row>24</xdr:row>
      <xdr:rowOff>0</xdr:rowOff>
    </xdr:from>
    <xdr:to>
      <xdr:col>8</xdr:col>
      <xdr:colOff>640715</xdr:colOff>
      <xdr:row>26</xdr:row>
      <xdr:rowOff>22860</xdr:rowOff>
    </xdr:to>
    <xdr:sp macro="" textlink="">
      <xdr:nvSpPr>
        <xdr:cNvPr id="13" name="Frame 12"/>
        <xdr:cNvSpPr/>
      </xdr:nvSpPr>
      <xdr:spPr>
        <a:xfrm>
          <a:off x="4115435" y="4114800"/>
          <a:ext cx="2011680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  <a:cs typeface="Arial" pitchFamily="34" charset="0"/>
            </a:rPr>
            <a:t>Package/Module</a:t>
          </a:r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635</xdr:colOff>
      <xdr:row>26</xdr:row>
      <xdr:rowOff>22860</xdr:rowOff>
    </xdr:from>
    <xdr:to>
      <xdr:col>8</xdr:col>
      <xdr:colOff>640715</xdr:colOff>
      <xdr:row>33</xdr:row>
      <xdr:rowOff>11430</xdr:rowOff>
    </xdr:to>
    <xdr:sp macro="" textlink="">
      <xdr:nvSpPr>
        <xdr:cNvPr id="14" name="Rectangle 13"/>
        <xdr:cNvSpPr/>
      </xdr:nvSpPr>
      <xdr:spPr>
        <a:xfrm>
          <a:off x="4115435" y="4480560"/>
          <a:ext cx="2011680" cy="118872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r>
            <a:rPr lang="en-US" sz="1200">
              <a:solidFill>
                <a:schemeClr val="tx1"/>
              </a:solidFill>
            </a:rPr>
            <a:t>Optical format:</a:t>
          </a:r>
          <a:r>
            <a:rPr lang="en-US" sz="1200" baseline="0">
              <a:solidFill>
                <a:schemeClr val="tx1"/>
              </a:solidFill>
            </a:rPr>
            <a:t> 1/2.88"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 baseline="0">
              <a:solidFill>
                <a:schemeClr val="tx1"/>
              </a:solidFill>
            </a:rPr>
            <a:t>PADs location: left/right</a:t>
          </a:r>
        </a:p>
        <a:p>
          <a:pPr marL="91440" indent="-91440">
            <a:buFont typeface="Arial" pitchFamily="34" charset="0"/>
            <a:buChar char="•"/>
            <a:defRPr/>
          </a:pPr>
          <a:r>
            <a:rPr lang="en-US" sz="1200" baseline="0">
              <a:solidFill>
                <a:schemeClr val="tx1"/>
              </a:solidFill>
            </a:rPr>
            <a:t>FF module Y : 5637.6um x 4779um(COB)</a:t>
          </a:r>
        </a:p>
      </xdr:txBody>
    </xdr:sp>
    <xdr:clientData/>
  </xdr:twoCellAnchor>
  <xdr:twoCellAnchor>
    <xdr:from>
      <xdr:col>9</xdr:col>
      <xdr:colOff>46355</xdr:colOff>
      <xdr:row>24</xdr:row>
      <xdr:rowOff>0</xdr:rowOff>
    </xdr:from>
    <xdr:to>
      <xdr:col>12</xdr:col>
      <xdr:colOff>183515</xdr:colOff>
      <xdr:row>26</xdr:row>
      <xdr:rowOff>22860</xdr:rowOff>
    </xdr:to>
    <xdr:sp macro="" textlink="">
      <xdr:nvSpPr>
        <xdr:cNvPr id="15" name="Frame 14"/>
        <xdr:cNvSpPr/>
      </xdr:nvSpPr>
      <xdr:spPr>
        <a:xfrm>
          <a:off x="6218555" y="4114800"/>
          <a:ext cx="2194560" cy="365760"/>
        </a:xfrm>
        <a:prstGeom prst="frame">
          <a:avLst/>
        </a:prstGeom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defRPr/>
          </a:pPr>
          <a:r>
            <a:rPr lang="en-US">
              <a:solidFill>
                <a:schemeClr val="tx1"/>
              </a:solidFill>
              <a:cs typeface="Arial" pitchFamily="34" charset="0"/>
            </a:rPr>
            <a:t>Schedule</a:t>
          </a:r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46355</xdr:colOff>
      <xdr:row>26</xdr:row>
      <xdr:rowOff>22860</xdr:rowOff>
    </xdr:from>
    <xdr:to>
      <xdr:col>12</xdr:col>
      <xdr:colOff>183515</xdr:colOff>
      <xdr:row>33</xdr:row>
      <xdr:rowOff>11430</xdr:rowOff>
    </xdr:to>
    <xdr:sp macro="" textlink="">
      <xdr:nvSpPr>
        <xdr:cNvPr id="16" name="Rectangle 15"/>
        <xdr:cNvSpPr/>
      </xdr:nvSpPr>
      <xdr:spPr>
        <a:xfrm>
          <a:off x="6218555" y="4480560"/>
          <a:ext cx="2194560" cy="1188720"/>
        </a:xfrm>
        <a:prstGeom prst="rect">
          <a:avLst/>
        </a:prstGeom>
        <a:noFill/>
        <a:ln w="28575"/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anchor="t" anchorCtr="0"/>
        <a:lstStyle>
          <a:defPPr>
            <a:defRPr lang="en-US"/>
          </a:defPPr>
          <a:lvl1pPr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91440" indent="-91440">
            <a:buFont typeface="Arial" pitchFamily="34" charset="0"/>
            <a:buChar char="•"/>
            <a:defRPr/>
          </a:pPr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634</xdr:colOff>
      <xdr:row>5</xdr:row>
      <xdr:rowOff>114299</xdr:rowOff>
    </xdr:from>
    <xdr:to>
      <xdr:col>12</xdr:col>
      <xdr:colOff>183514</xdr:colOff>
      <xdr:row>11</xdr:row>
      <xdr:rowOff>57150</xdr:rowOff>
    </xdr:to>
    <xdr:graphicFrame macro="">
      <xdr:nvGraphicFramePr>
        <xdr:cNvPr id="17" name="Diagram 16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8</xdr:col>
      <xdr:colOff>75426</xdr:colOff>
      <xdr:row>32</xdr:row>
      <xdr:rowOff>161214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6190476" cy="56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608819</xdr:colOff>
      <xdr:row>35</xdr:row>
      <xdr:rowOff>161158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975"/>
          <a:ext cx="6247619" cy="613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351662</xdr:colOff>
      <xdr:row>34</xdr:row>
      <xdr:rowOff>27825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525"/>
          <a:ext cx="6104762" cy="60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627886</xdr:colOff>
      <xdr:row>34</xdr:row>
      <xdr:rowOff>37349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8900" y="390525"/>
          <a:ext cx="6114286" cy="6009524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571500</xdr:colOff>
      <xdr:row>11</xdr:row>
      <xdr:rowOff>142875</xdr:rowOff>
    </xdr:from>
    <xdr:to>
      <xdr:col>27</xdr:col>
      <xdr:colOff>646919</xdr:colOff>
      <xdr:row>30</xdr:row>
      <xdr:rowOff>18636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82600" y="2343150"/>
          <a:ext cx="6247619" cy="3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37</xdr:row>
      <xdr:rowOff>161925</xdr:rowOff>
    </xdr:from>
    <xdr:to>
      <xdr:col>8</xdr:col>
      <xdr:colOff>332617</xdr:colOff>
      <xdr:row>62</xdr:row>
      <xdr:rowOff>170883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7181850"/>
          <a:ext cx="6066667" cy="453333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17</xdr:col>
      <xdr:colOff>608838</xdr:colOff>
      <xdr:row>62</xdr:row>
      <xdr:rowOff>161362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38900" y="7200900"/>
          <a:ext cx="6095238" cy="4504762"/>
        </a:xfrm>
        <a:prstGeom prst="rect">
          <a:avLst/>
        </a:prstGeom>
      </xdr:spPr>
    </xdr:pic>
    <xdr:clientData/>
  </xdr:twoCellAnchor>
  <xdr:twoCellAnchor editAs="oneCell">
    <xdr:from>
      <xdr:col>18</xdr:col>
      <xdr:colOff>495300</xdr:colOff>
      <xdr:row>48</xdr:row>
      <xdr:rowOff>171450</xdr:rowOff>
    </xdr:from>
    <xdr:to>
      <xdr:col>27</xdr:col>
      <xdr:colOff>523100</xdr:colOff>
      <xdr:row>66</xdr:row>
      <xdr:rowOff>209138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06400" y="9182100"/>
          <a:ext cx="6200000" cy="32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8</xdr:col>
      <xdr:colOff>323090</xdr:colOff>
      <xdr:row>94</xdr:row>
      <xdr:rowOff>47031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744450"/>
          <a:ext cx="6076190" cy="47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400050</xdr:colOff>
      <xdr:row>69</xdr:row>
      <xdr:rowOff>85725</xdr:rowOff>
    </xdr:from>
    <xdr:to>
      <xdr:col>18</xdr:col>
      <xdr:colOff>427850</xdr:colOff>
      <xdr:row>87</xdr:row>
      <xdr:rowOff>123413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38950" y="13011150"/>
          <a:ext cx="6200000" cy="3295238"/>
        </a:xfrm>
        <a:prstGeom prst="rect">
          <a:avLst/>
        </a:prstGeom>
      </xdr:spPr>
    </xdr:pic>
    <xdr:clientData/>
  </xdr:twoCellAnchor>
  <xdr:twoCellAnchor editAs="oneCell">
    <xdr:from>
      <xdr:col>18</xdr:col>
      <xdr:colOff>495300</xdr:colOff>
      <xdr:row>37</xdr:row>
      <xdr:rowOff>104775</xdr:rowOff>
    </xdr:from>
    <xdr:to>
      <xdr:col>27</xdr:col>
      <xdr:colOff>504052</xdr:colOff>
      <xdr:row>48</xdr:row>
      <xdr:rowOff>75955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06400" y="7124700"/>
          <a:ext cx="6180952" cy="1961905"/>
        </a:xfrm>
        <a:prstGeom prst="rect">
          <a:avLst/>
        </a:prstGeom>
      </xdr:spPr>
    </xdr:pic>
    <xdr:clientData/>
  </xdr:twoCellAnchor>
  <xdr:twoCellAnchor editAs="oneCell">
    <xdr:from>
      <xdr:col>18</xdr:col>
      <xdr:colOff>600075</xdr:colOff>
      <xdr:row>2</xdr:row>
      <xdr:rowOff>57150</xdr:rowOff>
    </xdr:from>
    <xdr:to>
      <xdr:col>27</xdr:col>
      <xdr:colOff>608827</xdr:colOff>
      <xdr:row>10</xdr:row>
      <xdr:rowOff>123636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11175" y="628650"/>
          <a:ext cx="6180952" cy="15142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_OV60A/Appnote/OV32B40_app_note_v0.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_OV60A/PLL/OV60A_app_note_v1.01_temporal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3_OV60A/PLL/OV64A4Y_app_note_v1.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wrk/OV60A/document/AppNote/OV60A_app_note_v1.4_tmp1025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  <sheetName val="overview"/>
      <sheetName val="Mode List"/>
      <sheetName val="Initial"/>
      <sheetName val="Resolution"/>
      <sheetName val="MIPI"/>
      <sheetName val="Gain"/>
      <sheetName val="Exposure"/>
      <sheetName val="Mirror &amp; Flip"/>
      <sheetName val="Power consumption"/>
      <sheetName val="MCLK&amp;SCCB"/>
      <sheetName val="Power management"/>
      <sheetName val="FSIN"/>
    </sheetNames>
    <sheetDataSet>
      <sheetData sheetId="0"/>
      <sheetData sheetId="1"/>
      <sheetData sheetId="2"/>
      <sheetData sheetId="3"/>
      <sheetData sheetId="4"/>
      <sheetData sheetId="5">
        <row r="32">
          <cell r="C32" t="str">
            <v>0.59</v>
          </cell>
        </row>
        <row r="71">
          <cell r="A71" t="str">
            <v>24MHz</v>
          </cell>
        </row>
        <row r="72">
          <cell r="A72" t="str">
            <v>19.2MHz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  <sheetName val="PLL"/>
      <sheetName val="Gain &amp; Exposure"/>
    </sheetNames>
    <sheetDataSet>
      <sheetData sheetId="0" refreshError="1"/>
      <sheetData sheetId="1">
        <row r="3">
          <cell r="A3">
            <v>24</v>
          </cell>
        </row>
        <row r="7">
          <cell r="J7" t="str">
            <v>3C5</v>
          </cell>
          <cell r="L7" t="str">
            <v>D7F</v>
          </cell>
        </row>
        <row r="17">
          <cell r="P17">
            <v>1200</v>
          </cell>
        </row>
        <row r="22">
          <cell r="R22">
            <v>120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  <sheetName val="overview"/>
      <sheetName val="Mode List"/>
      <sheetName val="Initial"/>
      <sheetName val="Resolution"/>
      <sheetName val="MIPI"/>
      <sheetName val="Gain"/>
      <sheetName val="Exposure"/>
      <sheetName val="Mirror &amp; Flip"/>
      <sheetName val="Fsin"/>
      <sheetName val="PD"/>
      <sheetName val="Power consumption"/>
      <sheetName val="MCLK&amp;SCCB"/>
      <sheetName val="Power management"/>
    </sheetNames>
    <sheetDataSet>
      <sheetData sheetId="0"/>
      <sheetData sheetId="1"/>
      <sheetData sheetId="2"/>
      <sheetData sheetId="3"/>
      <sheetData sheetId="4"/>
      <sheetData sheetId="5">
        <row r="33">
          <cell r="C33" t="str">
            <v>0.59</v>
          </cell>
        </row>
        <row r="64">
          <cell r="A64" t="str">
            <v>24MHz</v>
          </cell>
        </row>
        <row r="65">
          <cell r="A65" t="str">
            <v>19.2MHz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  <sheetName val="overview"/>
      <sheetName val="PLL"/>
      <sheetName val="PLL_ULP"/>
      <sheetName val="Gain"/>
      <sheetName val="Exposure"/>
      <sheetName val="Gain_Exposure_for_ALS"/>
      <sheetName val="Mirror &amp; Flip"/>
      <sheetName val="MIPI"/>
      <sheetName val="FSIN"/>
    </sheetNames>
    <sheetDataSet>
      <sheetData sheetId="0" refreshError="1"/>
      <sheetData sheetId="1" refreshError="1"/>
      <sheetData sheetId="2" refreshError="1"/>
      <sheetData sheetId="3">
        <row r="3">
          <cell r="A3">
            <v>24</v>
          </cell>
        </row>
        <row r="7">
          <cell r="J7">
            <v>83</v>
          </cell>
          <cell r="L7" t="str">
            <v>17db</v>
          </cell>
        </row>
        <row r="17">
          <cell r="P17">
            <v>1704</v>
          </cell>
        </row>
        <row r="22">
          <cell r="U22">
            <v>5.458333333333333</v>
          </cell>
        </row>
      </sheetData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2"/>
  <sheetViews>
    <sheetView tabSelected="1" workbookViewId="0">
      <selection activeCell="J7" sqref="J7"/>
    </sheetView>
  </sheetViews>
  <sheetFormatPr defaultColWidth="9" defaultRowHeight="14.25"/>
  <cols>
    <col min="1" max="9" width="9" style="5"/>
    <col min="10" max="10" width="10" style="5" customWidth="1"/>
    <col min="11" max="16384" width="9" style="5"/>
  </cols>
  <sheetData>
    <row r="3" spans="2:10" ht="15" thickBot="1"/>
    <row r="4" spans="2:10" ht="33">
      <c r="B4" s="6" t="s">
        <v>0</v>
      </c>
      <c r="C4" s="7"/>
      <c r="D4" s="7"/>
      <c r="E4" s="7"/>
      <c r="F4" s="7"/>
      <c r="G4" s="7"/>
      <c r="H4" s="7"/>
      <c r="I4" s="7"/>
      <c r="J4" s="8"/>
    </row>
    <row r="5" spans="2:10">
      <c r="B5" s="22" t="s">
        <v>36</v>
      </c>
      <c r="C5" s="23"/>
      <c r="D5" s="23"/>
      <c r="E5" s="23"/>
      <c r="F5" s="23"/>
      <c r="G5" s="23"/>
      <c r="H5" s="23"/>
      <c r="I5" s="23"/>
      <c r="J5" s="24" t="s">
        <v>51</v>
      </c>
    </row>
    <row r="6" spans="2:10">
      <c r="B6" s="22" t="s">
        <v>393</v>
      </c>
      <c r="C6" s="23"/>
      <c r="D6" s="23"/>
      <c r="E6" s="23"/>
      <c r="F6" s="23"/>
      <c r="G6" s="23"/>
      <c r="H6" s="23"/>
      <c r="I6" s="23"/>
      <c r="J6" s="24" t="s">
        <v>394</v>
      </c>
    </row>
    <row r="7" spans="2:10">
      <c r="B7" s="22"/>
      <c r="C7" s="23"/>
      <c r="D7" s="23"/>
      <c r="E7" s="23"/>
      <c r="F7" s="23"/>
      <c r="G7" s="23"/>
      <c r="H7" s="23"/>
      <c r="I7" s="23"/>
      <c r="J7" s="24"/>
    </row>
    <row r="8" spans="2:10">
      <c r="B8" s="22"/>
      <c r="C8" s="23"/>
      <c r="D8" s="23"/>
      <c r="E8" s="23"/>
      <c r="F8" s="23"/>
      <c r="G8" s="23"/>
      <c r="H8" s="23"/>
      <c r="I8" s="23"/>
      <c r="J8" s="24"/>
    </row>
    <row r="9" spans="2:10">
      <c r="B9" s="25"/>
      <c r="C9" s="12"/>
      <c r="D9" s="12"/>
      <c r="E9" s="12"/>
      <c r="F9" s="12"/>
      <c r="G9" s="12"/>
      <c r="H9" s="12"/>
      <c r="I9" s="12"/>
      <c r="J9" s="26"/>
    </row>
    <row r="10" spans="2:10">
      <c r="B10" s="25"/>
      <c r="C10" s="12"/>
      <c r="D10" s="12"/>
      <c r="E10" s="12"/>
      <c r="F10" s="12"/>
      <c r="G10" s="12"/>
      <c r="H10" s="12"/>
      <c r="I10" s="12"/>
      <c r="J10" s="26"/>
    </row>
    <row r="11" spans="2:10">
      <c r="B11" s="25"/>
      <c r="C11" s="12"/>
      <c r="D11" s="12"/>
      <c r="E11" s="12"/>
      <c r="F11" s="12"/>
      <c r="G11" s="12"/>
      <c r="H11" s="12"/>
      <c r="I11" s="12"/>
      <c r="J11" s="26"/>
    </row>
    <row r="12" spans="2:10">
      <c r="B12" s="25"/>
      <c r="C12" s="12"/>
      <c r="D12" s="12"/>
      <c r="E12" s="12"/>
      <c r="F12" s="12"/>
      <c r="G12" s="12"/>
      <c r="H12" s="12"/>
      <c r="I12" s="12"/>
      <c r="J12" s="26"/>
    </row>
    <row r="13" spans="2:10">
      <c r="B13" s="25"/>
      <c r="C13" s="12"/>
      <c r="D13" s="12"/>
      <c r="E13" s="12"/>
      <c r="F13" s="12"/>
      <c r="G13" s="12"/>
      <c r="H13" s="12"/>
      <c r="I13" s="12"/>
      <c r="J13" s="26"/>
    </row>
    <row r="14" spans="2:10">
      <c r="B14" s="25"/>
      <c r="C14" s="12"/>
      <c r="D14" s="12"/>
      <c r="E14" s="12"/>
      <c r="F14" s="12"/>
      <c r="G14" s="12"/>
      <c r="H14" s="12"/>
      <c r="I14" s="12"/>
      <c r="J14" s="26"/>
    </row>
    <row r="15" spans="2:10">
      <c r="B15" s="25"/>
      <c r="C15" s="12"/>
      <c r="D15" s="12"/>
      <c r="E15" s="12"/>
      <c r="F15" s="12"/>
      <c r="G15" s="12"/>
      <c r="H15" s="12"/>
      <c r="I15" s="12"/>
      <c r="J15" s="26"/>
    </row>
    <row r="16" spans="2:10">
      <c r="B16" s="9"/>
      <c r="C16" s="10"/>
      <c r="D16" s="10"/>
      <c r="E16" s="10"/>
      <c r="F16" s="10"/>
      <c r="G16" s="10"/>
      <c r="H16" s="10"/>
      <c r="I16" s="10"/>
      <c r="J16" s="11"/>
    </row>
    <row r="17" spans="2:10">
      <c r="B17" s="9"/>
      <c r="C17" s="10"/>
      <c r="D17" s="10"/>
      <c r="E17" s="10"/>
      <c r="F17" s="10"/>
      <c r="G17" s="10"/>
      <c r="H17" s="10"/>
      <c r="I17" s="10"/>
      <c r="J17" s="11"/>
    </row>
    <row r="18" spans="2:10">
      <c r="B18" s="9"/>
      <c r="C18" s="10"/>
      <c r="D18" s="10"/>
      <c r="E18" s="10"/>
      <c r="F18" s="10"/>
      <c r="G18" s="10"/>
      <c r="H18" s="10"/>
      <c r="I18" s="10"/>
      <c r="J18" s="11"/>
    </row>
    <row r="19" spans="2:10">
      <c r="B19" s="9"/>
      <c r="C19" s="10"/>
      <c r="D19" s="10"/>
      <c r="E19" s="10"/>
      <c r="F19" s="10"/>
      <c r="G19" s="10"/>
      <c r="H19" s="10"/>
      <c r="I19" s="10"/>
      <c r="J19" s="11"/>
    </row>
    <row r="20" spans="2:10">
      <c r="B20" s="9"/>
      <c r="C20" s="10"/>
      <c r="D20" s="10"/>
      <c r="E20" s="10"/>
      <c r="F20" s="10"/>
      <c r="G20" s="10"/>
      <c r="H20" s="10"/>
      <c r="I20" s="10"/>
      <c r="J20" s="11"/>
    </row>
    <row r="21" spans="2:10">
      <c r="B21" s="9"/>
      <c r="C21" s="10"/>
      <c r="D21" s="10"/>
      <c r="E21" s="10"/>
      <c r="F21" s="10"/>
      <c r="G21" s="10"/>
      <c r="H21" s="10"/>
      <c r="I21" s="10"/>
      <c r="J21" s="11"/>
    </row>
    <row r="22" spans="2:10" ht="15" thickBot="1">
      <c r="B22" s="13"/>
      <c r="C22" s="14"/>
      <c r="D22" s="14"/>
      <c r="E22" s="14"/>
      <c r="F22" s="14"/>
      <c r="G22" s="14"/>
      <c r="H22" s="14"/>
      <c r="I22" s="14"/>
      <c r="J22" s="1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"/>
  <sheetViews>
    <sheetView workbookViewId="0">
      <selection activeCell="D38" sqref="D38"/>
    </sheetView>
  </sheetViews>
  <sheetFormatPr defaultColWidth="9" defaultRowHeight="13.5"/>
  <cols>
    <col min="1" max="16384" width="9" style="16"/>
  </cols>
  <sheetData>
    <row r="17" ht="16.5" customHeight="1"/>
  </sheetData>
  <phoneticPr fontId="10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workbookViewId="0">
      <selection activeCell="J26" sqref="J26"/>
    </sheetView>
  </sheetViews>
  <sheetFormatPr defaultColWidth="9" defaultRowHeight="13.5"/>
  <cols>
    <col min="1" max="1" width="11.5" style="16" customWidth="1"/>
    <col min="2" max="2" width="22.375" style="16" customWidth="1"/>
    <col min="3" max="3" width="9.5" style="16" customWidth="1"/>
    <col min="4" max="4" width="10.125" style="16" customWidth="1"/>
    <col min="5" max="5" width="10.875" style="16" bestFit="1" customWidth="1"/>
    <col min="6" max="6" width="9" style="16"/>
    <col min="7" max="7" width="11.25" style="16" customWidth="1"/>
    <col min="8" max="9" width="9" style="16"/>
    <col min="10" max="10" width="10.125" style="16" customWidth="1"/>
    <col min="11" max="11" width="10.25" style="16" customWidth="1"/>
    <col min="12" max="12" width="11.625" style="16" customWidth="1"/>
    <col min="13" max="13" width="13.5" style="16" customWidth="1"/>
    <col min="14" max="14" width="14.625" style="16" customWidth="1"/>
    <col min="15" max="16" width="9" style="16"/>
    <col min="17" max="17" width="9" style="150"/>
    <col min="18" max="18" width="8.5" style="150" customWidth="1"/>
    <col min="19" max="19" width="11" style="150" customWidth="1"/>
    <col min="20" max="23" width="9" style="16"/>
    <col min="24" max="24" width="10.125" style="16" customWidth="1"/>
    <col min="25" max="16384" width="9" style="16"/>
  </cols>
  <sheetData>
    <row r="1" spans="1:28" ht="14.25" customHeight="1">
      <c r="A1" s="192" t="s">
        <v>269</v>
      </c>
      <c r="B1" s="192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8"/>
      <c r="S1" s="148"/>
      <c r="T1" s="148"/>
      <c r="U1" s="147"/>
      <c r="V1" s="147"/>
      <c r="W1" s="147"/>
      <c r="X1" s="147"/>
      <c r="Y1" s="147"/>
    </row>
    <row r="2" spans="1:28" ht="13.5" customHeight="1">
      <c r="A2" s="192"/>
      <c r="B2" s="192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8"/>
      <c r="S2" s="148"/>
      <c r="T2" s="148"/>
      <c r="U2" s="147"/>
      <c r="V2" s="147"/>
      <c r="W2" s="147"/>
      <c r="X2" s="147"/>
      <c r="Y2" s="147"/>
    </row>
    <row r="3" spans="1:28" ht="14.25" customHeight="1">
      <c r="A3" s="193"/>
      <c r="B3" s="193"/>
      <c r="C3" s="135" t="s">
        <v>228</v>
      </c>
      <c r="D3" s="149"/>
      <c r="Q3" s="16"/>
      <c r="T3" s="150"/>
    </row>
    <row r="4" spans="1:28" s="5" customFormat="1" ht="30.75" customHeight="1">
      <c r="A4" s="194" t="s">
        <v>229</v>
      </c>
      <c r="B4" s="190" t="s">
        <v>230</v>
      </c>
      <c r="C4" s="196" t="s">
        <v>231</v>
      </c>
      <c r="D4" s="194" t="s">
        <v>232</v>
      </c>
      <c r="E4" s="194"/>
      <c r="F4" s="190" t="s">
        <v>233</v>
      </c>
      <c r="G4" s="190" t="s">
        <v>234</v>
      </c>
      <c r="H4" s="190" t="s">
        <v>235</v>
      </c>
      <c r="I4" s="190" t="s">
        <v>236</v>
      </c>
      <c r="J4" s="190" t="s">
        <v>237</v>
      </c>
      <c r="K4" s="190" t="s">
        <v>270</v>
      </c>
      <c r="L4" s="190" t="s">
        <v>238</v>
      </c>
      <c r="M4" s="190" t="s">
        <v>239</v>
      </c>
      <c r="N4" s="196" t="s">
        <v>240</v>
      </c>
      <c r="O4" s="190" t="s">
        <v>241</v>
      </c>
      <c r="P4" s="190" t="s">
        <v>242</v>
      </c>
      <c r="Q4" s="190" t="s">
        <v>243</v>
      </c>
      <c r="R4" s="198" t="s">
        <v>244</v>
      </c>
      <c r="S4" s="198" t="s">
        <v>245</v>
      </c>
      <c r="T4" s="198" t="s">
        <v>246</v>
      </c>
      <c r="U4" s="190" t="s">
        <v>247</v>
      </c>
      <c r="V4" s="190" t="s">
        <v>248</v>
      </c>
      <c r="W4" s="190" t="s">
        <v>249</v>
      </c>
      <c r="X4" s="190" t="s">
        <v>250</v>
      </c>
      <c r="Y4" s="190" t="s">
        <v>251</v>
      </c>
      <c r="Z4" s="190" t="s">
        <v>252</v>
      </c>
    </row>
    <row r="5" spans="1:28" s="5" customFormat="1" ht="26.25" customHeight="1">
      <c r="A5" s="195"/>
      <c r="B5" s="191"/>
      <c r="C5" s="197"/>
      <c r="D5" s="151" t="s">
        <v>253</v>
      </c>
      <c r="E5" s="151" t="s">
        <v>254</v>
      </c>
      <c r="F5" s="191"/>
      <c r="G5" s="191"/>
      <c r="H5" s="191"/>
      <c r="I5" s="191"/>
      <c r="J5" s="191"/>
      <c r="K5" s="190"/>
      <c r="L5" s="190"/>
      <c r="M5" s="191"/>
      <c r="N5" s="197"/>
      <c r="O5" s="191"/>
      <c r="P5" s="191"/>
      <c r="Q5" s="191"/>
      <c r="R5" s="199"/>
      <c r="S5" s="199"/>
      <c r="T5" s="199"/>
      <c r="U5" s="191"/>
      <c r="V5" s="191"/>
      <c r="W5" s="191"/>
      <c r="X5" s="191"/>
      <c r="Y5" s="191"/>
      <c r="Z5" s="191"/>
    </row>
    <row r="6" spans="1:28" s="5" customFormat="1" ht="14.25">
      <c r="A6" s="152" t="s">
        <v>255</v>
      </c>
      <c r="B6" s="153" t="s">
        <v>268</v>
      </c>
      <c r="C6" s="153" t="s">
        <v>256</v>
      </c>
      <c r="D6" s="154">
        <v>4096</v>
      </c>
      <c r="E6" s="154">
        <v>3072</v>
      </c>
      <c r="F6" s="155">
        <f t="shared" ref="F6:F8" si="0">D6/IF(B6="Full",8192,IF(B6="4:1",2048,4096))</f>
        <v>1</v>
      </c>
      <c r="G6" s="155">
        <f t="shared" ref="G6:G8" si="1">E6/IF(B6="Full",6144,IF(B6="4:1",1536,3072))</f>
        <v>1</v>
      </c>
      <c r="H6" s="155">
        <f>F6*G6</f>
        <v>1</v>
      </c>
      <c r="I6" s="154">
        <v>4</v>
      </c>
      <c r="J6" s="154" t="s">
        <v>257</v>
      </c>
      <c r="K6" s="156">
        <v>1920</v>
      </c>
      <c r="L6" s="157">
        <f t="shared" ref="L6:L10" si="2">IF(C6="2stg",O6*10^6/(P6*Q6)/2,IF(C6="VS",O6*10^6/((P6+825)*Q6),O6*10^6/(P6*Q6)))</f>
        <v>30.012004801920767</v>
      </c>
      <c r="M6" s="158" t="s">
        <v>271</v>
      </c>
      <c r="N6" s="158" t="s">
        <v>272</v>
      </c>
      <c r="O6" s="158">
        <v>100</v>
      </c>
      <c r="P6" s="158">
        <v>425</v>
      </c>
      <c r="Q6" s="158">
        <v>7840</v>
      </c>
      <c r="R6" s="159">
        <f>P6/O6*2</f>
        <v>8.5</v>
      </c>
      <c r="S6" s="159">
        <f>R6-1/K6/I6*D6*10</f>
        <v>3.166666666666667</v>
      </c>
      <c r="T6" s="159">
        <f t="shared" ref="T6:T9" si="3">(Q6-E6)*R6/1000</f>
        <v>40.527999999999999</v>
      </c>
      <c r="U6" s="158" t="s">
        <v>259</v>
      </c>
      <c r="V6" s="158" t="s">
        <v>273</v>
      </c>
      <c r="W6" s="158">
        <v>20</v>
      </c>
      <c r="X6" s="158">
        <v>2</v>
      </c>
      <c r="Y6" s="158" t="s">
        <v>260</v>
      </c>
      <c r="Z6" s="160" t="s">
        <v>274</v>
      </c>
    </row>
    <row r="7" spans="1:28" s="5" customFormat="1" ht="14.25">
      <c r="A7" s="152" t="s">
        <v>261</v>
      </c>
      <c r="B7" s="153" t="s">
        <v>268</v>
      </c>
      <c r="C7" s="153" t="s">
        <v>275</v>
      </c>
      <c r="D7" s="154">
        <v>4096</v>
      </c>
      <c r="E7" s="154">
        <v>3072</v>
      </c>
      <c r="F7" s="155">
        <f t="shared" si="0"/>
        <v>1</v>
      </c>
      <c r="G7" s="155">
        <f t="shared" si="1"/>
        <v>1</v>
      </c>
      <c r="H7" s="155">
        <f t="shared" ref="H7:H10" si="4">F7*G7</f>
        <v>1</v>
      </c>
      <c r="I7" s="154">
        <v>4</v>
      </c>
      <c r="J7" s="154" t="s">
        <v>257</v>
      </c>
      <c r="K7" s="156">
        <v>1968</v>
      </c>
      <c r="L7" s="157">
        <f t="shared" si="2"/>
        <v>24.03846153846154</v>
      </c>
      <c r="M7" s="158" t="s">
        <v>276</v>
      </c>
      <c r="N7" s="158" t="s">
        <v>258</v>
      </c>
      <c r="O7" s="158">
        <v>100</v>
      </c>
      <c r="P7" s="158">
        <v>1300</v>
      </c>
      <c r="Q7" s="158">
        <v>1600</v>
      </c>
      <c r="R7" s="159">
        <f>P7/O7*2</f>
        <v>26</v>
      </c>
      <c r="S7" s="159">
        <f t="shared" ref="S7:S10" si="5">R7-1/K7/I7*D7*10</f>
        <v>20.796747967479675</v>
      </c>
      <c r="T7" s="159">
        <f>(2*Q7-E7)*R7/1000</f>
        <v>3.3279999999999998</v>
      </c>
      <c r="U7" s="158" t="s">
        <v>259</v>
      </c>
      <c r="V7" s="158" t="s">
        <v>273</v>
      </c>
      <c r="W7" s="158">
        <v>20</v>
      </c>
      <c r="X7" s="158">
        <v>2</v>
      </c>
      <c r="Y7" s="158" t="s">
        <v>260</v>
      </c>
      <c r="Z7" s="160" t="s">
        <v>274</v>
      </c>
    </row>
    <row r="8" spans="1:28" s="5" customFormat="1" ht="14.25">
      <c r="A8" s="152" t="s">
        <v>263</v>
      </c>
      <c r="B8" s="161" t="s">
        <v>277</v>
      </c>
      <c r="C8" s="153" t="s">
        <v>256</v>
      </c>
      <c r="D8" s="154">
        <v>1920</v>
      </c>
      <c r="E8" s="154">
        <v>1080</v>
      </c>
      <c r="F8" s="155">
        <f t="shared" si="0"/>
        <v>0.9375</v>
      </c>
      <c r="G8" s="155">
        <f t="shared" si="1"/>
        <v>0.703125</v>
      </c>
      <c r="H8" s="155">
        <f t="shared" si="4"/>
        <v>0.6591796875</v>
      </c>
      <c r="I8" s="154">
        <v>4</v>
      </c>
      <c r="J8" s="154" t="s">
        <v>257</v>
      </c>
      <c r="K8" s="156">
        <v>1920</v>
      </c>
      <c r="L8" s="157">
        <f t="shared" si="2"/>
        <v>90.567404791015719</v>
      </c>
      <c r="M8" s="158" t="s">
        <v>271</v>
      </c>
      <c r="N8" s="158" t="s">
        <v>272</v>
      </c>
      <c r="O8" s="158">
        <v>100</v>
      </c>
      <c r="P8" s="158">
        <v>425</v>
      </c>
      <c r="Q8" s="158">
        <v>2598</v>
      </c>
      <c r="R8" s="159">
        <f>P8/O8*2</f>
        <v>8.5</v>
      </c>
      <c r="S8" s="159">
        <f t="shared" si="5"/>
        <v>6</v>
      </c>
      <c r="T8" s="159">
        <f t="shared" si="3"/>
        <v>12.903</v>
      </c>
      <c r="U8" s="158" t="s">
        <v>259</v>
      </c>
      <c r="V8" s="158" t="s">
        <v>273</v>
      </c>
      <c r="W8" s="158">
        <v>20</v>
      </c>
      <c r="X8" s="158">
        <v>2</v>
      </c>
      <c r="Y8" s="158" t="s">
        <v>260</v>
      </c>
      <c r="Z8" s="163" t="s">
        <v>278</v>
      </c>
    </row>
    <row r="9" spans="1:28" s="5" customFormat="1" ht="14.25">
      <c r="A9" s="152" t="s">
        <v>264</v>
      </c>
      <c r="B9" s="161" t="s">
        <v>277</v>
      </c>
      <c r="C9" s="153" t="s">
        <v>256</v>
      </c>
      <c r="D9" s="154">
        <v>1920</v>
      </c>
      <c r="E9" s="154">
        <v>1080</v>
      </c>
      <c r="F9" s="155">
        <f>D9/IF(B9="Corp",8192,IF(B9="4:1",2048,4096))</f>
        <v>0.9375</v>
      </c>
      <c r="G9" s="155">
        <f>E9/IF(B9="Corp",6144,IF(B9="4:1",1536,3072))</f>
        <v>0.703125</v>
      </c>
      <c r="H9" s="155">
        <f t="shared" si="4"/>
        <v>0.6591796875</v>
      </c>
      <c r="I9" s="154">
        <v>4</v>
      </c>
      <c r="J9" s="154" t="s">
        <v>257</v>
      </c>
      <c r="K9" s="156">
        <v>1920</v>
      </c>
      <c r="L9" s="157">
        <f t="shared" si="2"/>
        <v>180.4402742692169</v>
      </c>
      <c r="M9" s="158" t="s">
        <v>271</v>
      </c>
      <c r="N9" s="158" t="s">
        <v>272</v>
      </c>
      <c r="O9" s="158">
        <v>100</v>
      </c>
      <c r="P9" s="158">
        <v>425</v>
      </c>
      <c r="Q9" s="158">
        <v>1304</v>
      </c>
      <c r="R9" s="159">
        <f t="shared" ref="R9:R10" si="6">P9/O9</f>
        <v>4.25</v>
      </c>
      <c r="S9" s="159">
        <f t="shared" si="5"/>
        <v>1.75</v>
      </c>
      <c r="T9" s="159">
        <f t="shared" si="3"/>
        <v>0.95199999999999996</v>
      </c>
      <c r="U9" s="158" t="s">
        <v>259</v>
      </c>
      <c r="V9" s="158" t="s">
        <v>273</v>
      </c>
      <c r="W9" s="158">
        <v>20</v>
      </c>
      <c r="X9" s="158">
        <v>2</v>
      </c>
      <c r="Y9" s="158" t="s">
        <v>260</v>
      </c>
      <c r="Z9" s="163" t="s">
        <v>279</v>
      </c>
    </row>
    <row r="10" spans="1:28" s="5" customFormat="1" ht="14.25">
      <c r="A10" s="152" t="s">
        <v>265</v>
      </c>
      <c r="B10" s="161" t="s">
        <v>277</v>
      </c>
      <c r="C10" s="153" t="s">
        <v>256</v>
      </c>
      <c r="D10" s="154">
        <v>1280</v>
      </c>
      <c r="E10" s="154">
        <v>720</v>
      </c>
      <c r="F10" s="155">
        <f>D10/IF(B10="Corp",8192,IF(B10="4:1",2048,4096))</f>
        <v>0.625</v>
      </c>
      <c r="G10" s="155">
        <f>E10/IF(B10="Corp",6144,IF(B10="4:1",1536,3072))</f>
        <v>0.46875</v>
      </c>
      <c r="H10" s="155">
        <f t="shared" si="4"/>
        <v>0.29296875</v>
      </c>
      <c r="I10" s="154">
        <v>4</v>
      </c>
      <c r="J10" s="154" t="s">
        <v>257</v>
      </c>
      <c r="K10" s="156">
        <v>1920</v>
      </c>
      <c r="L10" s="157">
        <f t="shared" si="2"/>
        <v>300.12004801920767</v>
      </c>
      <c r="M10" s="158" t="s">
        <v>271</v>
      </c>
      <c r="N10" s="158" t="s">
        <v>262</v>
      </c>
      <c r="O10" s="158">
        <v>100</v>
      </c>
      <c r="P10" s="158">
        <v>425</v>
      </c>
      <c r="Q10" s="158">
        <v>784</v>
      </c>
      <c r="R10" s="159">
        <f t="shared" si="6"/>
        <v>4.25</v>
      </c>
      <c r="S10" s="159">
        <f t="shared" si="5"/>
        <v>2.5833333333333335</v>
      </c>
      <c r="T10" s="159">
        <f>(Q10-E10)*R10/1000</f>
        <v>0.27200000000000002</v>
      </c>
      <c r="U10" s="158" t="s">
        <v>259</v>
      </c>
      <c r="V10" s="158" t="s">
        <v>273</v>
      </c>
      <c r="W10" s="158">
        <v>20</v>
      </c>
      <c r="X10" s="158">
        <v>2</v>
      </c>
      <c r="Y10" s="158" t="s">
        <v>260</v>
      </c>
      <c r="Z10" s="163" t="s">
        <v>279</v>
      </c>
    </row>
    <row r="11" spans="1:28" ht="14.25">
      <c r="A11" s="5" t="s">
        <v>280</v>
      </c>
      <c r="AA11" s="5"/>
      <c r="AB11" s="5"/>
    </row>
    <row r="20" spans="1:1" ht="14.25">
      <c r="A20" s="162" t="s">
        <v>266</v>
      </c>
    </row>
    <row r="21" spans="1:1" ht="14.25">
      <c r="A21" s="162" t="s">
        <v>267</v>
      </c>
    </row>
  </sheetData>
  <mergeCells count="26">
    <mergeCell ref="Y4:Y5"/>
    <mergeCell ref="Z4:Z5"/>
    <mergeCell ref="S4:S5"/>
    <mergeCell ref="T4:T5"/>
    <mergeCell ref="U4:U5"/>
    <mergeCell ref="V4:V5"/>
    <mergeCell ref="W4:W5"/>
    <mergeCell ref="X4:X5"/>
    <mergeCell ref="R4:R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F4:F5"/>
    <mergeCell ref="A1:B3"/>
    <mergeCell ref="A4:A5"/>
    <mergeCell ref="B4:B5"/>
    <mergeCell ref="C4:C5"/>
    <mergeCell ref="D4:E4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E107" sqref="E107"/>
    </sheetView>
  </sheetViews>
  <sheetFormatPr defaultColWidth="9" defaultRowHeight="14.25"/>
  <cols>
    <col min="1" max="1" width="9" style="3"/>
    <col min="2" max="2" width="16.125" style="3" customWidth="1"/>
    <col min="3" max="3" width="11.875" style="3" customWidth="1"/>
    <col min="4" max="5" width="9" style="3"/>
    <col min="6" max="9" width="17.125" style="3" customWidth="1"/>
    <col min="10" max="10" width="11.625" style="3" bestFit="1" customWidth="1"/>
    <col min="11" max="16384" width="9" style="3"/>
  </cols>
  <sheetData>
    <row r="1" spans="1:9" ht="27.75" customHeight="1">
      <c r="A1" s="200" t="s">
        <v>34</v>
      </c>
      <c r="B1" s="200"/>
    </row>
    <row r="2" spans="1:9" ht="27.75" customHeight="1">
      <c r="A2" s="200"/>
      <c r="B2" s="200"/>
    </row>
    <row r="3" spans="1:9">
      <c r="A3" s="33"/>
      <c r="B3" s="32"/>
      <c r="F3" s="134" t="s">
        <v>217</v>
      </c>
    </row>
    <row r="4" spans="1:9" ht="25.5">
      <c r="A4" s="1" t="s">
        <v>1</v>
      </c>
      <c r="B4" s="2" t="s">
        <v>53</v>
      </c>
      <c r="C4" s="2" t="s">
        <v>55</v>
      </c>
      <c r="F4" s="132" t="s">
        <v>216</v>
      </c>
      <c r="G4" s="132" t="s">
        <v>52</v>
      </c>
      <c r="H4" s="132" t="s">
        <v>54</v>
      </c>
      <c r="I4" s="132" t="s">
        <v>215</v>
      </c>
    </row>
    <row r="5" spans="1:9" ht="19.5" customHeight="1">
      <c r="A5" s="76">
        <v>1</v>
      </c>
      <c r="B5" s="76" t="str">
        <f>DEC2HEX(A5*256/256,2)</f>
        <v>01</v>
      </c>
      <c r="C5" s="76" t="str">
        <f>DEC2HEX(MOD(A5*256,256),2)</f>
        <v>00</v>
      </c>
      <c r="F5" s="130">
        <v>62</v>
      </c>
      <c r="G5" s="129" t="str">
        <f>IF(F5&gt;62, "error",DEC2HEX(INT(F5),2))</f>
        <v>3E</v>
      </c>
      <c r="H5" s="131" t="str">
        <f>IF(F5&gt;62, "error", DEC2HEX(INT((F5-INT(F5))*256/((2^(INT(LOG(F5,2))+4))))*(2^(INT(LOG(INT(F5),2)+4))),2))</f>
        <v>00</v>
      </c>
      <c r="I5" s="129">
        <f>IF(F5&gt;62,"error",HEX2DEC(G5&amp;H5)/256)</f>
        <v>62</v>
      </c>
    </row>
    <row r="6" spans="1:9" ht="19.5" customHeight="1">
      <c r="A6" s="76">
        <f>A5+1/16</f>
        <v>1.0625</v>
      </c>
      <c r="B6" s="76" t="str">
        <f t="shared" ref="B6:B69" si="0">DEC2HEX(A6*256/256,2)</f>
        <v>01</v>
      </c>
      <c r="C6" s="76" t="str">
        <f t="shared" ref="C6:C69" si="1">DEC2HEX(MOD(A6*256,256),2)</f>
        <v>10</v>
      </c>
    </row>
    <row r="7" spans="1:9" ht="19.5" customHeight="1">
      <c r="A7" s="76">
        <f t="shared" ref="A7:A19" si="2">A6+1/16</f>
        <v>1.125</v>
      </c>
      <c r="B7" s="76" t="str">
        <f t="shared" si="0"/>
        <v>01</v>
      </c>
      <c r="C7" s="76" t="str">
        <f t="shared" si="1"/>
        <v>20</v>
      </c>
    </row>
    <row r="8" spans="1:9" ht="19.5" customHeight="1">
      <c r="A8" s="76">
        <f t="shared" si="2"/>
        <v>1.1875</v>
      </c>
      <c r="B8" s="76" t="str">
        <f t="shared" si="0"/>
        <v>01</v>
      </c>
      <c r="C8" s="76" t="str">
        <f t="shared" si="1"/>
        <v>30</v>
      </c>
    </row>
    <row r="9" spans="1:9" ht="19.5" customHeight="1">
      <c r="A9" s="76">
        <f t="shared" si="2"/>
        <v>1.25</v>
      </c>
      <c r="B9" s="76" t="str">
        <f t="shared" si="0"/>
        <v>01</v>
      </c>
      <c r="C9" s="76" t="str">
        <f t="shared" si="1"/>
        <v>40</v>
      </c>
    </row>
    <row r="10" spans="1:9" ht="15" customHeight="1">
      <c r="A10" s="76">
        <f t="shared" si="2"/>
        <v>1.3125</v>
      </c>
      <c r="B10" s="76" t="str">
        <f t="shared" si="0"/>
        <v>01</v>
      </c>
      <c r="C10" s="76" t="str">
        <f t="shared" si="1"/>
        <v>50</v>
      </c>
    </row>
    <row r="11" spans="1:9">
      <c r="A11" s="76">
        <f t="shared" si="2"/>
        <v>1.375</v>
      </c>
      <c r="B11" s="76" t="str">
        <f t="shared" si="0"/>
        <v>01</v>
      </c>
      <c r="C11" s="76" t="str">
        <f t="shared" si="1"/>
        <v>60</v>
      </c>
    </row>
    <row r="12" spans="1:9">
      <c r="A12" s="76">
        <f t="shared" si="2"/>
        <v>1.4375</v>
      </c>
      <c r="B12" s="76" t="str">
        <f t="shared" si="0"/>
        <v>01</v>
      </c>
      <c r="C12" s="76" t="str">
        <f t="shared" si="1"/>
        <v>70</v>
      </c>
    </row>
    <row r="13" spans="1:9">
      <c r="A13" s="76">
        <f t="shared" si="2"/>
        <v>1.5</v>
      </c>
      <c r="B13" s="76" t="str">
        <f t="shared" si="0"/>
        <v>01</v>
      </c>
      <c r="C13" s="76" t="str">
        <f t="shared" si="1"/>
        <v>80</v>
      </c>
    </row>
    <row r="14" spans="1:9">
      <c r="A14" s="76">
        <f t="shared" si="2"/>
        <v>1.5625</v>
      </c>
      <c r="B14" s="76" t="str">
        <f t="shared" si="0"/>
        <v>01</v>
      </c>
      <c r="C14" s="76" t="str">
        <f t="shared" si="1"/>
        <v>90</v>
      </c>
    </row>
    <row r="15" spans="1:9">
      <c r="A15" s="76">
        <f t="shared" si="2"/>
        <v>1.625</v>
      </c>
      <c r="B15" s="76" t="str">
        <f t="shared" si="0"/>
        <v>01</v>
      </c>
      <c r="C15" s="76" t="str">
        <f t="shared" si="1"/>
        <v>A0</v>
      </c>
    </row>
    <row r="16" spans="1:9">
      <c r="A16" s="76">
        <f t="shared" si="2"/>
        <v>1.6875</v>
      </c>
      <c r="B16" s="76" t="str">
        <f t="shared" si="0"/>
        <v>01</v>
      </c>
      <c r="C16" s="76" t="str">
        <f t="shared" si="1"/>
        <v>B0</v>
      </c>
    </row>
    <row r="17" spans="1:3">
      <c r="A17" s="76">
        <f t="shared" si="2"/>
        <v>1.75</v>
      </c>
      <c r="B17" s="76" t="str">
        <f t="shared" si="0"/>
        <v>01</v>
      </c>
      <c r="C17" s="76" t="str">
        <f t="shared" si="1"/>
        <v>C0</v>
      </c>
    </row>
    <row r="18" spans="1:3" ht="14.25" customHeight="1">
      <c r="A18" s="76">
        <f t="shared" si="2"/>
        <v>1.8125</v>
      </c>
      <c r="B18" s="76" t="str">
        <f t="shared" si="0"/>
        <v>01</v>
      </c>
      <c r="C18" s="76" t="str">
        <f t="shared" si="1"/>
        <v>D0</v>
      </c>
    </row>
    <row r="19" spans="1:3">
      <c r="A19" s="76">
        <f t="shared" si="2"/>
        <v>1.875</v>
      </c>
      <c r="B19" s="76" t="str">
        <f t="shared" si="0"/>
        <v>01</v>
      </c>
      <c r="C19" s="76" t="str">
        <f t="shared" si="1"/>
        <v>E0</v>
      </c>
    </row>
    <row r="20" spans="1:3">
      <c r="A20" s="76">
        <f>A19+1/16</f>
        <v>1.9375</v>
      </c>
      <c r="B20" s="76" t="str">
        <f t="shared" si="0"/>
        <v>01</v>
      </c>
      <c r="C20" s="76" t="str">
        <f t="shared" si="1"/>
        <v>F0</v>
      </c>
    </row>
    <row r="21" spans="1:3">
      <c r="A21" s="76">
        <f>A20+1/16</f>
        <v>2</v>
      </c>
      <c r="B21" s="76" t="str">
        <f t="shared" si="0"/>
        <v>02</v>
      </c>
      <c r="C21" s="76" t="str">
        <f t="shared" si="1"/>
        <v>00</v>
      </c>
    </row>
    <row r="22" spans="1:3">
      <c r="A22" s="76">
        <f>A21+1/8</f>
        <v>2.125</v>
      </c>
      <c r="B22" s="76" t="str">
        <f t="shared" si="0"/>
        <v>02</v>
      </c>
      <c r="C22" s="76" t="str">
        <f t="shared" si="1"/>
        <v>20</v>
      </c>
    </row>
    <row r="23" spans="1:3">
      <c r="A23" s="76">
        <f t="shared" ref="A23:A35" si="3">A22+1/8</f>
        <v>2.25</v>
      </c>
      <c r="B23" s="76" t="str">
        <f t="shared" si="0"/>
        <v>02</v>
      </c>
      <c r="C23" s="76" t="str">
        <f t="shared" si="1"/>
        <v>40</v>
      </c>
    </row>
    <row r="24" spans="1:3">
      <c r="A24" s="76">
        <f t="shared" si="3"/>
        <v>2.375</v>
      </c>
      <c r="B24" s="76" t="str">
        <f t="shared" si="0"/>
        <v>02</v>
      </c>
      <c r="C24" s="76" t="str">
        <f t="shared" si="1"/>
        <v>60</v>
      </c>
    </row>
    <row r="25" spans="1:3" ht="15" customHeight="1">
      <c r="A25" s="76">
        <f t="shared" si="3"/>
        <v>2.5</v>
      </c>
      <c r="B25" s="76" t="str">
        <f t="shared" si="0"/>
        <v>02</v>
      </c>
      <c r="C25" s="76" t="str">
        <f t="shared" si="1"/>
        <v>80</v>
      </c>
    </row>
    <row r="26" spans="1:3" ht="18.75" customHeight="1">
      <c r="A26" s="76">
        <f t="shared" si="3"/>
        <v>2.625</v>
      </c>
      <c r="B26" s="76" t="str">
        <f t="shared" si="0"/>
        <v>02</v>
      </c>
      <c r="C26" s="76" t="str">
        <f t="shared" si="1"/>
        <v>A0</v>
      </c>
    </row>
    <row r="27" spans="1:3">
      <c r="A27" s="76">
        <f t="shared" si="3"/>
        <v>2.75</v>
      </c>
      <c r="B27" s="76" t="str">
        <f t="shared" si="0"/>
        <v>02</v>
      </c>
      <c r="C27" s="76" t="str">
        <f t="shared" si="1"/>
        <v>C0</v>
      </c>
    </row>
    <row r="28" spans="1:3">
      <c r="A28" s="76">
        <f t="shared" si="3"/>
        <v>2.875</v>
      </c>
      <c r="B28" s="76" t="str">
        <f t="shared" si="0"/>
        <v>02</v>
      </c>
      <c r="C28" s="76" t="str">
        <f t="shared" si="1"/>
        <v>E0</v>
      </c>
    </row>
    <row r="29" spans="1:3">
      <c r="A29" s="76">
        <f t="shared" si="3"/>
        <v>3</v>
      </c>
      <c r="B29" s="76" t="str">
        <f t="shared" si="0"/>
        <v>03</v>
      </c>
      <c r="C29" s="76" t="str">
        <f t="shared" si="1"/>
        <v>00</v>
      </c>
    </row>
    <row r="30" spans="1:3">
      <c r="A30" s="76">
        <f t="shared" si="3"/>
        <v>3.125</v>
      </c>
      <c r="B30" s="76" t="str">
        <f t="shared" si="0"/>
        <v>03</v>
      </c>
      <c r="C30" s="76" t="str">
        <f t="shared" si="1"/>
        <v>20</v>
      </c>
    </row>
    <row r="31" spans="1:3" ht="14.25" customHeight="1">
      <c r="A31" s="76">
        <f t="shared" si="3"/>
        <v>3.25</v>
      </c>
      <c r="B31" s="76" t="str">
        <f t="shared" si="0"/>
        <v>03</v>
      </c>
      <c r="C31" s="76" t="str">
        <f t="shared" si="1"/>
        <v>40</v>
      </c>
    </row>
    <row r="32" spans="1:3" ht="15" customHeight="1">
      <c r="A32" s="76">
        <f>A31+1/8</f>
        <v>3.375</v>
      </c>
      <c r="B32" s="76" t="str">
        <f t="shared" si="0"/>
        <v>03</v>
      </c>
      <c r="C32" s="76" t="str">
        <f t="shared" si="1"/>
        <v>60</v>
      </c>
    </row>
    <row r="33" spans="1:3">
      <c r="A33" s="76">
        <f t="shared" si="3"/>
        <v>3.5</v>
      </c>
      <c r="B33" s="76" t="str">
        <f t="shared" si="0"/>
        <v>03</v>
      </c>
      <c r="C33" s="76" t="str">
        <f t="shared" si="1"/>
        <v>80</v>
      </c>
    </row>
    <row r="34" spans="1:3">
      <c r="A34" s="76">
        <f t="shared" si="3"/>
        <v>3.625</v>
      </c>
      <c r="B34" s="76" t="str">
        <f t="shared" si="0"/>
        <v>03</v>
      </c>
      <c r="C34" s="76" t="str">
        <f t="shared" si="1"/>
        <v>A0</v>
      </c>
    </row>
    <row r="35" spans="1:3">
      <c r="A35" s="76">
        <f t="shared" si="3"/>
        <v>3.75</v>
      </c>
      <c r="B35" s="76" t="str">
        <f t="shared" si="0"/>
        <v>03</v>
      </c>
      <c r="C35" s="76" t="str">
        <f t="shared" si="1"/>
        <v>C0</v>
      </c>
    </row>
    <row r="36" spans="1:3">
      <c r="A36" s="76">
        <f>A35+1/8</f>
        <v>3.875</v>
      </c>
      <c r="B36" s="76" t="str">
        <f t="shared" si="0"/>
        <v>03</v>
      </c>
      <c r="C36" s="76" t="str">
        <f t="shared" si="1"/>
        <v>E0</v>
      </c>
    </row>
    <row r="37" spans="1:3" ht="14.25" customHeight="1">
      <c r="A37" s="76">
        <f>A36+1/8</f>
        <v>4</v>
      </c>
      <c r="B37" s="76" t="str">
        <f t="shared" si="0"/>
        <v>04</v>
      </c>
      <c r="C37" s="76" t="str">
        <f t="shared" si="1"/>
        <v>00</v>
      </c>
    </row>
    <row r="38" spans="1:3" ht="15" customHeight="1">
      <c r="A38" s="76">
        <f>A37+1/4</f>
        <v>4.25</v>
      </c>
      <c r="B38" s="76" t="str">
        <f t="shared" si="0"/>
        <v>04</v>
      </c>
      <c r="C38" s="76" t="str">
        <f t="shared" si="1"/>
        <v>40</v>
      </c>
    </row>
    <row r="39" spans="1:3">
      <c r="A39" s="76">
        <f t="shared" ref="A39:A53" si="4">A38+1/4</f>
        <v>4.5</v>
      </c>
      <c r="B39" s="76" t="str">
        <f t="shared" si="0"/>
        <v>04</v>
      </c>
      <c r="C39" s="76" t="str">
        <f t="shared" si="1"/>
        <v>80</v>
      </c>
    </row>
    <row r="40" spans="1:3">
      <c r="A40" s="76">
        <f t="shared" si="4"/>
        <v>4.75</v>
      </c>
      <c r="B40" s="76" t="str">
        <f t="shared" si="0"/>
        <v>04</v>
      </c>
      <c r="C40" s="76" t="str">
        <f t="shared" si="1"/>
        <v>C0</v>
      </c>
    </row>
    <row r="41" spans="1:3">
      <c r="A41" s="76">
        <f t="shared" si="4"/>
        <v>5</v>
      </c>
      <c r="B41" s="76" t="str">
        <f t="shared" si="0"/>
        <v>05</v>
      </c>
      <c r="C41" s="76" t="str">
        <f t="shared" si="1"/>
        <v>00</v>
      </c>
    </row>
    <row r="42" spans="1:3">
      <c r="A42" s="76">
        <f t="shared" si="4"/>
        <v>5.25</v>
      </c>
      <c r="B42" s="76" t="str">
        <f t="shared" si="0"/>
        <v>05</v>
      </c>
      <c r="C42" s="76" t="str">
        <f t="shared" si="1"/>
        <v>40</v>
      </c>
    </row>
    <row r="43" spans="1:3">
      <c r="A43" s="76">
        <f t="shared" si="4"/>
        <v>5.5</v>
      </c>
      <c r="B43" s="76" t="str">
        <f t="shared" si="0"/>
        <v>05</v>
      </c>
      <c r="C43" s="76" t="str">
        <f t="shared" si="1"/>
        <v>80</v>
      </c>
    </row>
    <row r="44" spans="1:3">
      <c r="A44" s="76">
        <f>A43+1/4</f>
        <v>5.75</v>
      </c>
      <c r="B44" s="76" t="str">
        <f t="shared" si="0"/>
        <v>05</v>
      </c>
      <c r="C44" s="76" t="str">
        <f t="shared" si="1"/>
        <v>C0</v>
      </c>
    </row>
    <row r="45" spans="1:3">
      <c r="A45" s="76">
        <f t="shared" si="4"/>
        <v>6</v>
      </c>
      <c r="B45" s="76" t="str">
        <f t="shared" si="0"/>
        <v>06</v>
      </c>
      <c r="C45" s="76" t="str">
        <f t="shared" si="1"/>
        <v>00</v>
      </c>
    </row>
    <row r="46" spans="1:3">
      <c r="A46" s="76">
        <f t="shared" si="4"/>
        <v>6.25</v>
      </c>
      <c r="B46" s="76" t="str">
        <f t="shared" si="0"/>
        <v>06</v>
      </c>
      <c r="C46" s="76" t="str">
        <f t="shared" si="1"/>
        <v>40</v>
      </c>
    </row>
    <row r="47" spans="1:3">
      <c r="A47" s="76">
        <f t="shared" si="4"/>
        <v>6.5</v>
      </c>
      <c r="B47" s="76" t="str">
        <f t="shared" si="0"/>
        <v>06</v>
      </c>
      <c r="C47" s="76" t="str">
        <f t="shared" si="1"/>
        <v>80</v>
      </c>
    </row>
    <row r="48" spans="1:3">
      <c r="A48" s="76">
        <f t="shared" si="4"/>
        <v>6.75</v>
      </c>
      <c r="B48" s="76" t="str">
        <f t="shared" si="0"/>
        <v>06</v>
      </c>
      <c r="C48" s="76" t="str">
        <f t="shared" si="1"/>
        <v>C0</v>
      </c>
    </row>
    <row r="49" spans="1:3">
      <c r="A49" s="76">
        <f t="shared" si="4"/>
        <v>7</v>
      </c>
      <c r="B49" s="76" t="str">
        <f t="shared" si="0"/>
        <v>07</v>
      </c>
      <c r="C49" s="76" t="str">
        <f t="shared" si="1"/>
        <v>00</v>
      </c>
    </row>
    <row r="50" spans="1:3">
      <c r="A50" s="76">
        <f>A49+1/4</f>
        <v>7.25</v>
      </c>
      <c r="B50" s="76" t="str">
        <f t="shared" si="0"/>
        <v>07</v>
      </c>
      <c r="C50" s="76" t="str">
        <f t="shared" si="1"/>
        <v>40</v>
      </c>
    </row>
    <row r="51" spans="1:3">
      <c r="A51" s="76">
        <f t="shared" si="4"/>
        <v>7.5</v>
      </c>
      <c r="B51" s="76" t="str">
        <f t="shared" si="0"/>
        <v>07</v>
      </c>
      <c r="C51" s="76" t="str">
        <f t="shared" si="1"/>
        <v>80</v>
      </c>
    </row>
    <row r="52" spans="1:3">
      <c r="A52" s="76">
        <f t="shared" si="4"/>
        <v>7.75</v>
      </c>
      <c r="B52" s="76" t="str">
        <f t="shared" si="0"/>
        <v>07</v>
      </c>
      <c r="C52" s="76" t="str">
        <f t="shared" si="1"/>
        <v>C0</v>
      </c>
    </row>
    <row r="53" spans="1:3">
      <c r="A53" s="76">
        <f t="shared" si="4"/>
        <v>8</v>
      </c>
      <c r="B53" s="76" t="str">
        <f t="shared" si="0"/>
        <v>08</v>
      </c>
      <c r="C53" s="76" t="str">
        <f t="shared" si="1"/>
        <v>00</v>
      </c>
    </row>
    <row r="54" spans="1:3">
      <c r="A54" s="76">
        <f>A53+1/2</f>
        <v>8.5</v>
      </c>
      <c r="B54" s="76" t="str">
        <f t="shared" si="0"/>
        <v>08</v>
      </c>
      <c r="C54" s="76" t="str">
        <f t="shared" si="1"/>
        <v>80</v>
      </c>
    </row>
    <row r="55" spans="1:3">
      <c r="A55" s="76">
        <f t="shared" ref="A55:A69" si="5">A54+1/2</f>
        <v>9</v>
      </c>
      <c r="B55" s="76" t="str">
        <f t="shared" si="0"/>
        <v>09</v>
      </c>
      <c r="C55" s="76" t="str">
        <f t="shared" si="1"/>
        <v>00</v>
      </c>
    </row>
    <row r="56" spans="1:3">
      <c r="A56" s="76">
        <f t="shared" si="5"/>
        <v>9.5</v>
      </c>
      <c r="B56" s="76" t="str">
        <f t="shared" si="0"/>
        <v>09</v>
      </c>
      <c r="C56" s="76" t="str">
        <f t="shared" si="1"/>
        <v>80</v>
      </c>
    </row>
    <row r="57" spans="1:3">
      <c r="A57" s="76">
        <f t="shared" si="5"/>
        <v>10</v>
      </c>
      <c r="B57" s="76" t="str">
        <f t="shared" si="0"/>
        <v>0A</v>
      </c>
      <c r="C57" s="76" t="str">
        <f t="shared" si="1"/>
        <v>00</v>
      </c>
    </row>
    <row r="58" spans="1:3">
      <c r="A58" s="76">
        <f t="shared" si="5"/>
        <v>10.5</v>
      </c>
      <c r="B58" s="76" t="str">
        <f t="shared" si="0"/>
        <v>0A</v>
      </c>
      <c r="C58" s="76" t="str">
        <f t="shared" si="1"/>
        <v>80</v>
      </c>
    </row>
    <row r="59" spans="1:3">
      <c r="A59" s="76">
        <f t="shared" si="5"/>
        <v>11</v>
      </c>
      <c r="B59" s="76" t="str">
        <f t="shared" si="0"/>
        <v>0B</v>
      </c>
      <c r="C59" s="76" t="str">
        <f t="shared" si="1"/>
        <v>00</v>
      </c>
    </row>
    <row r="60" spans="1:3">
      <c r="A60" s="76">
        <f t="shared" si="5"/>
        <v>11.5</v>
      </c>
      <c r="B60" s="76" t="str">
        <f t="shared" si="0"/>
        <v>0B</v>
      </c>
      <c r="C60" s="76" t="str">
        <f t="shared" si="1"/>
        <v>80</v>
      </c>
    </row>
    <row r="61" spans="1:3">
      <c r="A61" s="76">
        <f t="shared" si="5"/>
        <v>12</v>
      </c>
      <c r="B61" s="76" t="str">
        <f t="shared" si="0"/>
        <v>0C</v>
      </c>
      <c r="C61" s="76" t="str">
        <f t="shared" si="1"/>
        <v>00</v>
      </c>
    </row>
    <row r="62" spans="1:3">
      <c r="A62" s="76">
        <f t="shared" si="5"/>
        <v>12.5</v>
      </c>
      <c r="B62" s="76" t="str">
        <f t="shared" si="0"/>
        <v>0C</v>
      </c>
      <c r="C62" s="76" t="str">
        <f t="shared" si="1"/>
        <v>80</v>
      </c>
    </row>
    <row r="63" spans="1:3">
      <c r="A63" s="76">
        <f t="shared" si="5"/>
        <v>13</v>
      </c>
      <c r="B63" s="76" t="str">
        <f t="shared" si="0"/>
        <v>0D</v>
      </c>
      <c r="C63" s="76" t="str">
        <f t="shared" si="1"/>
        <v>00</v>
      </c>
    </row>
    <row r="64" spans="1:3">
      <c r="A64" s="76">
        <f t="shared" si="5"/>
        <v>13.5</v>
      </c>
      <c r="B64" s="76" t="str">
        <f t="shared" si="0"/>
        <v>0D</v>
      </c>
      <c r="C64" s="76" t="str">
        <f t="shared" si="1"/>
        <v>80</v>
      </c>
    </row>
    <row r="65" spans="1:3">
      <c r="A65" s="76">
        <f t="shared" si="5"/>
        <v>14</v>
      </c>
      <c r="B65" s="76" t="str">
        <f t="shared" si="0"/>
        <v>0E</v>
      </c>
      <c r="C65" s="76" t="str">
        <f t="shared" si="1"/>
        <v>00</v>
      </c>
    </row>
    <row r="66" spans="1:3">
      <c r="A66" s="76">
        <f t="shared" si="5"/>
        <v>14.5</v>
      </c>
      <c r="B66" s="76" t="str">
        <f t="shared" si="0"/>
        <v>0E</v>
      </c>
      <c r="C66" s="76" t="str">
        <f t="shared" si="1"/>
        <v>80</v>
      </c>
    </row>
    <row r="67" spans="1:3">
      <c r="A67" s="76">
        <f t="shared" si="5"/>
        <v>15</v>
      </c>
      <c r="B67" s="76" t="str">
        <f t="shared" si="0"/>
        <v>0F</v>
      </c>
      <c r="C67" s="76" t="str">
        <f t="shared" si="1"/>
        <v>00</v>
      </c>
    </row>
    <row r="68" spans="1:3">
      <c r="A68" s="76">
        <f t="shared" si="5"/>
        <v>15.5</v>
      </c>
      <c r="B68" s="76" t="str">
        <f t="shared" si="0"/>
        <v>0F</v>
      </c>
      <c r="C68" s="76" t="str">
        <f t="shared" si="1"/>
        <v>80</v>
      </c>
    </row>
    <row r="69" spans="1:3">
      <c r="A69" s="76">
        <f t="shared" si="5"/>
        <v>16</v>
      </c>
      <c r="B69" s="76" t="str">
        <f t="shared" si="0"/>
        <v>10</v>
      </c>
      <c r="C69" s="76" t="str">
        <f t="shared" si="1"/>
        <v>00</v>
      </c>
    </row>
    <row r="70" spans="1:3">
      <c r="A70" s="76">
        <f>A69+1</f>
        <v>17</v>
      </c>
      <c r="B70" s="76" t="str">
        <f t="shared" ref="B70:B100" si="6">DEC2HEX(A70*256/256,2)</f>
        <v>11</v>
      </c>
      <c r="C70" s="76" t="str">
        <f t="shared" ref="C70:C73" si="7">DEC2HEX(MOD(A70*256,256),2)</f>
        <v>00</v>
      </c>
    </row>
    <row r="71" spans="1:3">
      <c r="A71" s="76">
        <f t="shared" ref="A71:A73" si="8">A70+1</f>
        <v>18</v>
      </c>
      <c r="B71" s="76" t="str">
        <f t="shared" si="6"/>
        <v>12</v>
      </c>
      <c r="C71" s="76" t="str">
        <f t="shared" si="7"/>
        <v>00</v>
      </c>
    </row>
    <row r="72" spans="1:3">
      <c r="A72" s="76">
        <f t="shared" si="8"/>
        <v>19</v>
      </c>
      <c r="B72" s="76" t="str">
        <f t="shared" si="6"/>
        <v>13</v>
      </c>
      <c r="C72" s="76" t="str">
        <f t="shared" si="7"/>
        <v>00</v>
      </c>
    </row>
    <row r="73" spans="1:3">
      <c r="A73" s="76">
        <f t="shared" si="8"/>
        <v>20</v>
      </c>
      <c r="B73" s="76" t="str">
        <f t="shared" si="6"/>
        <v>14</v>
      </c>
      <c r="C73" s="76" t="str">
        <f t="shared" si="7"/>
        <v>00</v>
      </c>
    </row>
    <row r="74" spans="1:3">
      <c r="A74" s="76">
        <f t="shared" ref="A74:A85" si="9">A73+1</f>
        <v>21</v>
      </c>
      <c r="B74" s="76" t="str">
        <f t="shared" si="6"/>
        <v>15</v>
      </c>
      <c r="C74" s="76" t="str">
        <f t="shared" ref="C74:C94" si="10">DEC2HEX(MOD(A74*256,256),2)</f>
        <v>00</v>
      </c>
    </row>
    <row r="75" spans="1:3">
      <c r="A75" s="76">
        <f t="shared" si="9"/>
        <v>22</v>
      </c>
      <c r="B75" s="76" t="str">
        <f t="shared" si="6"/>
        <v>16</v>
      </c>
      <c r="C75" s="76" t="str">
        <f t="shared" si="10"/>
        <v>00</v>
      </c>
    </row>
    <row r="76" spans="1:3">
      <c r="A76" s="76">
        <f t="shared" si="9"/>
        <v>23</v>
      </c>
      <c r="B76" s="76" t="str">
        <f t="shared" si="6"/>
        <v>17</v>
      </c>
      <c r="C76" s="76" t="str">
        <f t="shared" si="10"/>
        <v>00</v>
      </c>
    </row>
    <row r="77" spans="1:3">
      <c r="A77" s="76">
        <f t="shared" si="9"/>
        <v>24</v>
      </c>
      <c r="B77" s="76" t="str">
        <f t="shared" si="6"/>
        <v>18</v>
      </c>
      <c r="C77" s="76" t="str">
        <f t="shared" si="10"/>
        <v>00</v>
      </c>
    </row>
    <row r="78" spans="1:3">
      <c r="A78" s="76">
        <f t="shared" si="9"/>
        <v>25</v>
      </c>
      <c r="B78" s="76" t="str">
        <f t="shared" si="6"/>
        <v>19</v>
      </c>
      <c r="C78" s="76" t="str">
        <f t="shared" si="10"/>
        <v>00</v>
      </c>
    </row>
    <row r="79" spans="1:3">
      <c r="A79" s="76">
        <f t="shared" si="9"/>
        <v>26</v>
      </c>
      <c r="B79" s="76" t="str">
        <f t="shared" si="6"/>
        <v>1A</v>
      </c>
      <c r="C79" s="76" t="str">
        <f t="shared" si="10"/>
        <v>00</v>
      </c>
    </row>
    <row r="80" spans="1:3">
      <c r="A80" s="76">
        <f t="shared" si="9"/>
        <v>27</v>
      </c>
      <c r="B80" s="76" t="str">
        <f t="shared" si="6"/>
        <v>1B</v>
      </c>
      <c r="C80" s="76" t="str">
        <f t="shared" si="10"/>
        <v>00</v>
      </c>
    </row>
    <row r="81" spans="1:3">
      <c r="A81" s="76">
        <f t="shared" si="9"/>
        <v>28</v>
      </c>
      <c r="B81" s="76" t="str">
        <f t="shared" si="6"/>
        <v>1C</v>
      </c>
      <c r="C81" s="76" t="str">
        <f t="shared" si="10"/>
        <v>00</v>
      </c>
    </row>
    <row r="82" spans="1:3">
      <c r="A82" s="76">
        <f t="shared" si="9"/>
        <v>29</v>
      </c>
      <c r="B82" s="76" t="str">
        <f t="shared" si="6"/>
        <v>1D</v>
      </c>
      <c r="C82" s="76" t="str">
        <f t="shared" si="10"/>
        <v>00</v>
      </c>
    </row>
    <row r="83" spans="1:3">
      <c r="A83" s="76">
        <f t="shared" si="9"/>
        <v>30</v>
      </c>
      <c r="B83" s="76" t="str">
        <f t="shared" si="6"/>
        <v>1E</v>
      </c>
      <c r="C83" s="76" t="str">
        <f t="shared" si="10"/>
        <v>00</v>
      </c>
    </row>
    <row r="84" spans="1:3">
      <c r="A84" s="76">
        <f t="shared" si="9"/>
        <v>31</v>
      </c>
      <c r="B84" s="76" t="str">
        <f t="shared" si="6"/>
        <v>1F</v>
      </c>
      <c r="C84" s="76" t="str">
        <f t="shared" si="10"/>
        <v>00</v>
      </c>
    </row>
    <row r="85" spans="1:3">
      <c r="A85" s="76">
        <f t="shared" si="9"/>
        <v>32</v>
      </c>
      <c r="B85" s="76" t="str">
        <f t="shared" si="6"/>
        <v>20</v>
      </c>
      <c r="C85" s="76" t="str">
        <f t="shared" si="10"/>
        <v>00</v>
      </c>
    </row>
    <row r="86" spans="1:3">
      <c r="A86" s="76">
        <f>A85+2</f>
        <v>34</v>
      </c>
      <c r="B86" s="76" t="str">
        <f t="shared" si="6"/>
        <v>22</v>
      </c>
      <c r="C86" s="76" t="str">
        <f t="shared" si="10"/>
        <v>00</v>
      </c>
    </row>
    <row r="87" spans="1:3">
      <c r="A87" s="76">
        <f>A86+2</f>
        <v>36</v>
      </c>
      <c r="B87" s="76" t="str">
        <f t="shared" si="6"/>
        <v>24</v>
      </c>
      <c r="C87" s="76" t="str">
        <f t="shared" si="10"/>
        <v>00</v>
      </c>
    </row>
    <row r="88" spans="1:3">
      <c r="A88" s="76">
        <f>A87+2</f>
        <v>38</v>
      </c>
      <c r="B88" s="76" t="str">
        <f t="shared" si="6"/>
        <v>26</v>
      </c>
      <c r="C88" s="76" t="str">
        <f t="shared" si="10"/>
        <v>00</v>
      </c>
    </row>
    <row r="89" spans="1:3">
      <c r="A89" s="76">
        <f t="shared" ref="A89:A100" si="11">A88+2</f>
        <v>40</v>
      </c>
      <c r="B89" s="76" t="str">
        <f t="shared" si="6"/>
        <v>28</v>
      </c>
      <c r="C89" s="76" t="str">
        <f t="shared" si="10"/>
        <v>00</v>
      </c>
    </row>
    <row r="90" spans="1:3">
      <c r="A90" s="76">
        <f t="shared" si="11"/>
        <v>42</v>
      </c>
      <c r="B90" s="76" t="str">
        <f t="shared" si="6"/>
        <v>2A</v>
      </c>
      <c r="C90" s="76" t="str">
        <f t="shared" si="10"/>
        <v>00</v>
      </c>
    </row>
    <row r="91" spans="1:3">
      <c r="A91" s="76">
        <f t="shared" si="11"/>
        <v>44</v>
      </c>
      <c r="B91" s="76" t="str">
        <f t="shared" si="6"/>
        <v>2C</v>
      </c>
      <c r="C91" s="76" t="str">
        <f t="shared" si="10"/>
        <v>00</v>
      </c>
    </row>
    <row r="92" spans="1:3">
      <c r="A92" s="76">
        <f t="shared" si="11"/>
        <v>46</v>
      </c>
      <c r="B92" s="76" t="str">
        <f t="shared" si="6"/>
        <v>2E</v>
      </c>
      <c r="C92" s="76" t="str">
        <f t="shared" si="10"/>
        <v>00</v>
      </c>
    </row>
    <row r="93" spans="1:3">
      <c r="A93" s="76">
        <f t="shared" si="11"/>
        <v>48</v>
      </c>
      <c r="B93" s="76" t="str">
        <f t="shared" si="6"/>
        <v>30</v>
      </c>
      <c r="C93" s="76" t="str">
        <f t="shared" si="10"/>
        <v>00</v>
      </c>
    </row>
    <row r="94" spans="1:3">
      <c r="A94" s="76">
        <f t="shared" si="11"/>
        <v>50</v>
      </c>
      <c r="B94" s="76" t="str">
        <f t="shared" si="6"/>
        <v>32</v>
      </c>
      <c r="C94" s="76" t="str">
        <f t="shared" si="10"/>
        <v>00</v>
      </c>
    </row>
    <row r="95" spans="1:3">
      <c r="A95" s="76">
        <f t="shared" si="11"/>
        <v>52</v>
      </c>
      <c r="B95" s="76" t="str">
        <f t="shared" si="6"/>
        <v>34</v>
      </c>
      <c r="C95" s="76" t="str">
        <f t="shared" ref="C95:C100" si="12">DEC2HEX(MOD(A95*256,256),2)</f>
        <v>00</v>
      </c>
    </row>
    <row r="96" spans="1:3">
      <c r="A96" s="76">
        <f t="shared" si="11"/>
        <v>54</v>
      </c>
      <c r="B96" s="76" t="str">
        <f t="shared" si="6"/>
        <v>36</v>
      </c>
      <c r="C96" s="76" t="str">
        <f t="shared" si="12"/>
        <v>00</v>
      </c>
    </row>
    <row r="97" spans="1:3">
      <c r="A97" s="76">
        <f t="shared" si="11"/>
        <v>56</v>
      </c>
      <c r="B97" s="76" t="str">
        <f t="shared" si="6"/>
        <v>38</v>
      </c>
      <c r="C97" s="76" t="str">
        <f t="shared" si="12"/>
        <v>00</v>
      </c>
    </row>
    <row r="98" spans="1:3">
      <c r="A98" s="76">
        <f t="shared" si="11"/>
        <v>58</v>
      </c>
      <c r="B98" s="76" t="str">
        <f t="shared" si="6"/>
        <v>3A</v>
      </c>
      <c r="C98" s="76" t="str">
        <f t="shared" si="12"/>
        <v>00</v>
      </c>
    </row>
    <row r="99" spans="1:3">
      <c r="A99" s="76">
        <f t="shared" si="11"/>
        <v>60</v>
      </c>
      <c r="B99" s="76" t="str">
        <f t="shared" si="6"/>
        <v>3C</v>
      </c>
      <c r="C99" s="76" t="str">
        <f t="shared" si="12"/>
        <v>00</v>
      </c>
    </row>
    <row r="100" spans="1:3">
      <c r="A100" s="76">
        <f t="shared" si="11"/>
        <v>62</v>
      </c>
      <c r="B100" s="76" t="str">
        <f t="shared" si="6"/>
        <v>3E</v>
      </c>
      <c r="C100" s="76" t="str">
        <f t="shared" si="12"/>
        <v>00</v>
      </c>
    </row>
  </sheetData>
  <mergeCells count="1">
    <mergeCell ref="A1:B2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G34" sqref="G34"/>
    </sheetView>
  </sheetViews>
  <sheetFormatPr defaultRowHeight="14.25"/>
  <cols>
    <col min="1" max="1" width="15.75" style="5" customWidth="1"/>
    <col min="2" max="5" width="20.75" style="5" customWidth="1"/>
    <col min="6" max="8" width="12.375" style="5" customWidth="1"/>
    <col min="9" max="9" width="10.625" style="5" customWidth="1"/>
    <col min="10" max="11" width="12.375" style="5" customWidth="1"/>
    <col min="12" max="16384" width="9" style="5"/>
  </cols>
  <sheetData>
    <row r="1" spans="1:5" ht="28.5" customHeight="1">
      <c r="A1" s="201" t="s">
        <v>71</v>
      </c>
      <c r="B1" s="201"/>
      <c r="C1" s="3"/>
      <c r="D1" s="3"/>
      <c r="E1" s="3"/>
    </row>
    <row r="2" spans="1:5" ht="28.5" customHeight="1">
      <c r="A2" s="202"/>
      <c r="B2" s="202"/>
      <c r="C2" s="4"/>
      <c r="D2" s="3"/>
      <c r="E2" s="3"/>
    </row>
    <row r="3" spans="1:5">
      <c r="A3" s="17" t="s">
        <v>33</v>
      </c>
      <c r="B3" s="17" t="s">
        <v>11</v>
      </c>
      <c r="C3" s="18" t="s">
        <v>32</v>
      </c>
      <c r="D3" s="3"/>
      <c r="E3" s="3"/>
    </row>
    <row r="4" spans="1:5">
      <c r="A4" s="19">
        <v>3500</v>
      </c>
      <c r="B4" s="21" t="s">
        <v>26</v>
      </c>
      <c r="C4" s="20" t="s">
        <v>31</v>
      </c>
      <c r="D4" s="3"/>
      <c r="E4" s="3"/>
    </row>
    <row r="5" spans="1:5">
      <c r="A5" s="19">
        <v>3501</v>
      </c>
      <c r="B5" s="21">
        <v>11</v>
      </c>
      <c r="C5" s="20" t="s">
        <v>30</v>
      </c>
      <c r="D5" s="3"/>
      <c r="E5" s="3"/>
    </row>
    <row r="6" spans="1:5">
      <c r="A6" s="19">
        <v>3502</v>
      </c>
      <c r="B6" s="21">
        <v>60</v>
      </c>
      <c r="C6" s="20" t="s">
        <v>29</v>
      </c>
      <c r="D6" s="3"/>
      <c r="E6" s="3"/>
    </row>
    <row r="7" spans="1:5">
      <c r="A7" s="3"/>
      <c r="B7" s="3"/>
      <c r="C7" s="3"/>
      <c r="D7" s="3"/>
      <c r="E7" s="3"/>
    </row>
    <row r="8" spans="1:5">
      <c r="A8" s="3" t="s">
        <v>56</v>
      </c>
      <c r="B8" s="3" t="s">
        <v>58</v>
      </c>
      <c r="C8" s="3" t="s">
        <v>28</v>
      </c>
      <c r="D8" s="3" t="s">
        <v>27</v>
      </c>
      <c r="E8" s="3"/>
    </row>
    <row r="9" spans="1:5">
      <c r="A9" s="3" t="s">
        <v>57</v>
      </c>
      <c r="B9" s="3" t="s">
        <v>392</v>
      </c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78" t="s">
        <v>59</v>
      </c>
      <c r="B12" s="78" t="s">
        <v>61</v>
      </c>
      <c r="C12" s="78" t="s">
        <v>60</v>
      </c>
      <c r="D12" s="78" t="s">
        <v>63</v>
      </c>
      <c r="E12" s="3"/>
    </row>
    <row r="13" spans="1:5">
      <c r="A13" s="77" t="s">
        <v>62</v>
      </c>
      <c r="B13" s="77" t="s">
        <v>70</v>
      </c>
      <c r="C13" s="77" t="s">
        <v>64</v>
      </c>
      <c r="D13" s="77">
        <v>2</v>
      </c>
      <c r="E13" s="3"/>
    </row>
    <row r="14" spans="1:5">
      <c r="A14" s="77" t="s">
        <v>65</v>
      </c>
      <c r="B14" s="77" t="s">
        <v>70</v>
      </c>
      <c r="C14" s="77" t="s">
        <v>66</v>
      </c>
      <c r="D14" s="77">
        <v>2</v>
      </c>
      <c r="E14" s="3"/>
    </row>
    <row r="15" spans="1:5">
      <c r="A15" s="77" t="s">
        <v>68</v>
      </c>
      <c r="B15" s="77" t="s">
        <v>70</v>
      </c>
      <c r="C15" s="77" t="s">
        <v>64</v>
      </c>
      <c r="D15" s="77">
        <v>2</v>
      </c>
      <c r="E15" s="3"/>
    </row>
    <row r="16" spans="1:5">
      <c r="A16" s="77" t="s">
        <v>67</v>
      </c>
      <c r="B16" s="77" t="s">
        <v>69</v>
      </c>
      <c r="C16" s="77" t="s">
        <v>66</v>
      </c>
      <c r="D16" s="77">
        <v>2</v>
      </c>
      <c r="E16" s="3"/>
    </row>
    <row r="17" spans="1:12">
      <c r="A17" s="3"/>
      <c r="B17" s="3"/>
      <c r="C17" s="3"/>
      <c r="D17" s="3"/>
      <c r="E17" s="3"/>
    </row>
    <row r="18" spans="1:12">
      <c r="A18" s="4"/>
      <c r="B18" s="3"/>
      <c r="C18" s="3"/>
    </row>
    <row r="19" spans="1:12" ht="15" thickBot="1">
      <c r="A19" s="135" t="s">
        <v>224</v>
      </c>
      <c r="B19" s="3"/>
      <c r="C19" s="3"/>
      <c r="E19" s="135" t="s">
        <v>226</v>
      </c>
      <c r="F19" s="3"/>
      <c r="G19" s="3"/>
      <c r="I19" s="135" t="s">
        <v>227</v>
      </c>
      <c r="J19" s="3"/>
      <c r="K19" s="3"/>
    </row>
    <row r="20" spans="1:12">
      <c r="A20" s="133" t="s">
        <v>217</v>
      </c>
      <c r="B20" s="136" t="s">
        <v>218</v>
      </c>
      <c r="C20" s="137" t="s">
        <v>219</v>
      </c>
      <c r="E20" s="133" t="s">
        <v>217</v>
      </c>
      <c r="F20" s="136" t="s">
        <v>218</v>
      </c>
      <c r="G20" s="137" t="s">
        <v>219</v>
      </c>
      <c r="I20" s="133" t="s">
        <v>217</v>
      </c>
      <c r="J20" s="136" t="s">
        <v>218</v>
      </c>
      <c r="K20" s="137" t="s">
        <v>219</v>
      </c>
    </row>
    <row r="21" spans="1:12">
      <c r="A21" s="3"/>
      <c r="B21" s="3"/>
      <c r="C21" s="138"/>
      <c r="E21" s="3"/>
      <c r="F21" s="3"/>
      <c r="G21" s="138"/>
      <c r="I21" s="3"/>
      <c r="J21" s="3"/>
      <c r="K21" s="138"/>
    </row>
    <row r="22" spans="1:12">
      <c r="A22" s="139" t="s">
        <v>220</v>
      </c>
      <c r="B22" s="31"/>
      <c r="C22" s="140">
        <v>100</v>
      </c>
      <c r="E22" s="139" t="s">
        <v>220</v>
      </c>
      <c r="F22" s="31"/>
      <c r="G22" s="140">
        <v>100</v>
      </c>
      <c r="I22" s="139" t="s">
        <v>220</v>
      </c>
      <c r="J22" s="31"/>
      <c r="K22" s="140">
        <v>100</v>
      </c>
    </row>
    <row r="23" spans="1:12">
      <c r="A23" s="30" t="s">
        <v>221</v>
      </c>
      <c r="B23" s="27"/>
      <c r="C23" s="141" t="s">
        <v>225</v>
      </c>
      <c r="E23" s="30" t="s">
        <v>221</v>
      </c>
      <c r="F23" s="27"/>
      <c r="G23" s="141">
        <v>514</v>
      </c>
      <c r="I23" s="30" t="s">
        <v>221</v>
      </c>
      <c r="J23" s="27"/>
      <c r="K23" s="141" t="s">
        <v>225</v>
      </c>
    </row>
    <row r="24" spans="1:12">
      <c r="A24" s="30" t="s">
        <v>222</v>
      </c>
      <c r="B24" s="27"/>
      <c r="C24" s="142">
        <f>HEX2DEC(C23)/C22*2</f>
        <v>8.5</v>
      </c>
      <c r="E24" s="30" t="s">
        <v>222</v>
      </c>
      <c r="F24" s="27"/>
      <c r="G24" s="142">
        <f>HEX2DEC(G23)/G22*2</f>
        <v>26</v>
      </c>
      <c r="I24" s="30" t="s">
        <v>222</v>
      </c>
      <c r="J24" s="27"/>
      <c r="K24" s="142">
        <f>HEX2DEC(K23)/K22</f>
        <v>4.25</v>
      </c>
    </row>
    <row r="25" spans="1:12">
      <c r="A25" s="30" t="s">
        <v>223</v>
      </c>
      <c r="B25" s="27"/>
      <c r="C25" s="142">
        <f>INT(IF(C26*10^3/C24&lt;20,20,C26*10^3/C24/2))</f>
        <v>594</v>
      </c>
      <c r="D25" s="146" t="str">
        <f>DEC2HEX(C25,6)</f>
        <v>000252</v>
      </c>
      <c r="E25" s="30" t="s">
        <v>223</v>
      </c>
      <c r="F25" s="27"/>
      <c r="G25" s="142">
        <f>INT(IF(G26*10^3/G24&lt;20,20,G26*10^3/G24))</f>
        <v>388</v>
      </c>
      <c r="H25" s="146" t="str">
        <f>DEC2HEX(G25,6)</f>
        <v>000184</v>
      </c>
      <c r="I25" s="30" t="s">
        <v>223</v>
      </c>
      <c r="J25" s="27"/>
      <c r="K25" s="142">
        <f>INT(IF(K26*10^3/K24&lt;20,20,K26*10^3/K24))</f>
        <v>2376</v>
      </c>
      <c r="L25" s="146" t="str">
        <f>DEC2HEX(K25,6)</f>
        <v>000948</v>
      </c>
    </row>
    <row r="26" spans="1:12">
      <c r="A26" s="29" t="s">
        <v>281</v>
      </c>
      <c r="B26" s="28"/>
      <c r="C26" s="144">
        <v>10.1</v>
      </c>
      <c r="E26" s="29" t="s">
        <v>281</v>
      </c>
      <c r="F26" s="28"/>
      <c r="G26" s="144">
        <v>10.1</v>
      </c>
      <c r="I26" s="29" t="s">
        <v>281</v>
      </c>
      <c r="J26" s="28"/>
      <c r="K26" s="144">
        <v>10.1</v>
      </c>
    </row>
    <row r="27" spans="1:12">
      <c r="A27" s="27"/>
      <c r="B27" s="27"/>
      <c r="C27" s="27"/>
      <c r="E27" s="27"/>
      <c r="F27" s="27"/>
      <c r="G27" s="27"/>
      <c r="I27" s="27"/>
      <c r="J27" s="27"/>
      <c r="K27" s="27"/>
    </row>
    <row r="28" spans="1:12">
      <c r="A28" s="143">
        <v>3500</v>
      </c>
      <c r="B28" s="145" t="str">
        <f>MID(D25,1,2)</f>
        <v>00</v>
      </c>
      <c r="C28" s="138"/>
      <c r="E28" s="143">
        <v>3500</v>
      </c>
      <c r="F28" s="145" t="str">
        <f>MID(H25,1,2)</f>
        <v>00</v>
      </c>
      <c r="G28" s="138"/>
      <c r="I28" s="143">
        <v>3500</v>
      </c>
      <c r="J28" s="145" t="str">
        <f>MID(L25,1,2)</f>
        <v>00</v>
      </c>
      <c r="K28" s="138"/>
    </row>
    <row r="29" spans="1:12">
      <c r="A29" s="143">
        <v>3501</v>
      </c>
      <c r="B29" s="145" t="str">
        <f>MID(D25,3,2)</f>
        <v>02</v>
      </c>
      <c r="C29" s="138"/>
      <c r="E29" s="143">
        <v>3501</v>
      </c>
      <c r="F29" s="145" t="str">
        <f>MID(H25,3,2)</f>
        <v>01</v>
      </c>
      <c r="G29" s="138"/>
      <c r="I29" s="143">
        <v>3501</v>
      </c>
      <c r="J29" s="145" t="str">
        <f>MID(L25,3,2)</f>
        <v>09</v>
      </c>
      <c r="K29" s="138"/>
    </row>
    <row r="30" spans="1:12">
      <c r="A30" s="143">
        <v>3502</v>
      </c>
      <c r="B30" s="145" t="str">
        <f>MID(D25,5,2)</f>
        <v>52</v>
      </c>
      <c r="C30" s="138"/>
      <c r="E30" s="143">
        <v>3502</v>
      </c>
      <c r="F30" s="145" t="str">
        <f>MID(H25,5,2)</f>
        <v>84</v>
      </c>
      <c r="G30" s="138"/>
      <c r="I30" s="143">
        <v>3502</v>
      </c>
      <c r="J30" s="145" t="str">
        <f>MID(L25,5,2)</f>
        <v>48</v>
      </c>
      <c r="K30" s="138"/>
    </row>
  </sheetData>
  <mergeCells count="1">
    <mergeCell ref="A1:B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>
      <selection activeCell="I38" sqref="I38"/>
    </sheetView>
  </sheetViews>
  <sheetFormatPr defaultRowHeight="14.25"/>
  <cols>
    <col min="1" max="1" width="25.5" style="5" bestFit="1" customWidth="1"/>
    <col min="2" max="2" width="11.125" style="5" customWidth="1"/>
    <col min="3" max="3" width="16.5" style="5" bestFit="1" customWidth="1"/>
    <col min="4" max="4" width="15.125" style="5" bestFit="1" customWidth="1"/>
    <col min="5" max="6" width="9" style="5"/>
    <col min="7" max="7" width="10.875" style="5" bestFit="1" customWidth="1"/>
    <col min="8" max="8" width="9" style="5"/>
    <col min="9" max="9" width="122.5" style="5" bestFit="1" customWidth="1"/>
    <col min="10" max="16384" width="9" style="5"/>
  </cols>
  <sheetData>
    <row r="1" spans="1:6" ht="21" customHeight="1">
      <c r="A1" s="204" t="s">
        <v>379</v>
      </c>
    </row>
    <row r="2" spans="1:6" ht="21" customHeight="1">
      <c r="A2" s="204"/>
    </row>
    <row r="4" spans="1:6">
      <c r="A4" s="5" t="s">
        <v>380</v>
      </c>
    </row>
    <row r="5" spans="1:6" ht="15.75" thickBot="1">
      <c r="A5" s="173"/>
      <c r="C5" s="174"/>
      <c r="F5" s="135" t="s">
        <v>381</v>
      </c>
    </row>
    <row r="6" spans="1:6" ht="15">
      <c r="A6" s="175" t="s">
        <v>382</v>
      </c>
      <c r="B6" s="176" t="s">
        <v>383</v>
      </c>
      <c r="C6" s="177" t="s">
        <v>384</v>
      </c>
      <c r="D6" s="178" t="s">
        <v>385</v>
      </c>
      <c r="E6" s="178" t="s">
        <v>386</v>
      </c>
      <c r="F6" s="179" t="s">
        <v>390</v>
      </c>
    </row>
    <row r="7" spans="1:6">
      <c r="A7" s="180"/>
      <c r="B7" s="181" t="s">
        <v>387</v>
      </c>
      <c r="C7" s="182">
        <v>222</v>
      </c>
      <c r="D7" s="183">
        <v>184</v>
      </c>
      <c r="E7" s="183">
        <v>156</v>
      </c>
      <c r="F7" s="184">
        <v>198</v>
      </c>
    </row>
    <row r="8" spans="1:6" ht="15" thickBot="1">
      <c r="A8" s="185" t="s">
        <v>27</v>
      </c>
      <c r="B8" s="186" t="s">
        <v>11</v>
      </c>
      <c r="C8" s="187" t="s">
        <v>388</v>
      </c>
      <c r="D8" s="188" t="s">
        <v>75</v>
      </c>
      <c r="E8" s="188" t="s">
        <v>389</v>
      </c>
      <c r="F8" s="189" t="s">
        <v>391</v>
      </c>
    </row>
    <row r="11" spans="1:6" ht="15">
      <c r="A11" s="164" t="s">
        <v>287</v>
      </c>
      <c r="B11" s="5">
        <v>1924</v>
      </c>
      <c r="C11" s="5" t="s">
        <v>288</v>
      </c>
    </row>
    <row r="12" spans="1:6" ht="15">
      <c r="A12" s="165" t="s">
        <v>289</v>
      </c>
      <c r="B12" s="169">
        <v>1</v>
      </c>
      <c r="C12" s="5" t="s">
        <v>290</v>
      </c>
    </row>
    <row r="13" spans="1:6" ht="15">
      <c r="A13" s="165" t="s">
        <v>291</v>
      </c>
      <c r="B13" s="169">
        <v>1</v>
      </c>
      <c r="C13" s="5" t="s">
        <v>292</v>
      </c>
    </row>
    <row r="14" spans="1:6" ht="15">
      <c r="A14" s="165" t="s">
        <v>293</v>
      </c>
      <c r="B14" s="169">
        <v>1</v>
      </c>
      <c r="C14" s="5" t="s">
        <v>294</v>
      </c>
    </row>
    <row r="15" spans="1:6" ht="15">
      <c r="A15" s="165" t="s">
        <v>295</v>
      </c>
      <c r="B15" s="169"/>
    </row>
    <row r="16" spans="1:6" ht="15">
      <c r="A16" s="165" t="s">
        <v>296</v>
      </c>
      <c r="B16" s="169"/>
    </row>
    <row r="18" spans="1:9" ht="15">
      <c r="A18" s="168" t="s">
        <v>297</v>
      </c>
      <c r="B18" s="5">
        <f>IF(B14,2.5,5.5)</f>
        <v>2.5</v>
      </c>
      <c r="C18" s="5" t="s">
        <v>298</v>
      </c>
    </row>
    <row r="19" spans="1:9" ht="15">
      <c r="A19" s="168" t="s">
        <v>299</v>
      </c>
      <c r="B19" s="5">
        <f>IF(B12,B18,0)</f>
        <v>2.5</v>
      </c>
      <c r="C19" s="5" t="s">
        <v>298</v>
      </c>
    </row>
    <row r="21" spans="1:9">
      <c r="A21" s="5" t="s">
        <v>300</v>
      </c>
      <c r="B21" s="5">
        <f>B11/14*(1-B12+1)</f>
        <v>137.42857142857142</v>
      </c>
      <c r="C21" s="5" t="s">
        <v>301</v>
      </c>
      <c r="D21" s="203" t="s">
        <v>302</v>
      </c>
      <c r="E21" s="203"/>
      <c r="F21" s="203"/>
    </row>
    <row r="22" spans="1:9">
      <c r="A22" s="5" t="s">
        <v>303</v>
      </c>
      <c r="B22" s="5">
        <f>1000/B21</f>
        <v>7.2765072765072771</v>
      </c>
      <c r="C22" s="5" t="s">
        <v>304</v>
      </c>
      <c r="D22" s="203"/>
      <c r="E22" s="203"/>
      <c r="F22" s="203"/>
    </row>
    <row r="23" spans="1:9">
      <c r="A23" s="170"/>
      <c r="B23" s="169"/>
      <c r="C23" s="169"/>
      <c r="E23" s="5" t="s">
        <v>305</v>
      </c>
      <c r="F23" s="5" t="s">
        <v>306</v>
      </c>
      <c r="G23" s="5" t="s">
        <v>307</v>
      </c>
      <c r="H23" s="5" t="s">
        <v>308</v>
      </c>
      <c r="I23" s="5" t="s">
        <v>309</v>
      </c>
    </row>
    <row r="24" spans="1:9">
      <c r="D24" s="170" t="s">
        <v>310</v>
      </c>
      <c r="E24" s="169">
        <v>25</v>
      </c>
      <c r="F24" s="169"/>
    </row>
    <row r="25" spans="1:9">
      <c r="D25" s="170" t="s">
        <v>311</v>
      </c>
      <c r="E25" s="169">
        <v>0</v>
      </c>
      <c r="F25" s="169"/>
    </row>
    <row r="26" spans="1:9">
      <c r="C26" s="171">
        <f>E26*(1/$B$11)*1000</f>
        <v>156.44490644490645</v>
      </c>
      <c r="D26" s="167" t="s">
        <v>312</v>
      </c>
      <c r="E26" s="166">
        <f>(HEX2DEC(E24)*7+E25*14+7+7*B19*(B12+1))</f>
        <v>301</v>
      </c>
      <c r="F26" s="166" t="s">
        <v>313</v>
      </c>
      <c r="G26" s="172" t="s">
        <v>314</v>
      </c>
      <c r="H26" s="172" t="s">
        <v>315</v>
      </c>
      <c r="I26" s="5" t="s">
        <v>316</v>
      </c>
    </row>
    <row r="27" spans="1:9">
      <c r="D27" s="170" t="s">
        <v>317</v>
      </c>
      <c r="E27" s="169">
        <v>0</v>
      </c>
      <c r="F27" s="169"/>
    </row>
    <row r="28" spans="1:9">
      <c r="D28" s="170" t="s">
        <v>318</v>
      </c>
      <c r="E28" s="169">
        <v>10</v>
      </c>
      <c r="F28" s="169"/>
    </row>
    <row r="29" spans="1:9">
      <c r="C29" s="171">
        <f>E29*(1/$B$11)*1000</f>
        <v>98.232848232848241</v>
      </c>
      <c r="D29" s="167" t="s">
        <v>319</v>
      </c>
      <c r="E29" s="166">
        <f>(HEX2DEC(E27)*256+HEX2DEC(E28))*(1+B12)*7-B19*7*(B12+1)</f>
        <v>189</v>
      </c>
      <c r="F29" s="166" t="s">
        <v>313</v>
      </c>
      <c r="G29" s="172" t="s">
        <v>320</v>
      </c>
      <c r="H29" s="172" t="s">
        <v>321</v>
      </c>
      <c r="I29" s="5" t="s">
        <v>377</v>
      </c>
    </row>
    <row r="30" spans="1:9">
      <c r="D30" s="170" t="s">
        <v>322</v>
      </c>
      <c r="E30" s="169">
        <v>0</v>
      </c>
      <c r="F30" s="169"/>
    </row>
    <row r="31" spans="1:9">
      <c r="D31" s="170" t="s">
        <v>323</v>
      </c>
      <c r="E31" s="169">
        <v>64</v>
      </c>
      <c r="F31" s="169"/>
    </row>
    <row r="32" spans="1:9">
      <c r="D32" s="167" t="s">
        <v>324</v>
      </c>
      <c r="E32" s="166">
        <f>ROUNDUP((HEX2DEC(E30)*256+HEX2DEC(E31))/B22,0)*B22</f>
        <v>101.87110187110189</v>
      </c>
      <c r="F32" s="166" t="s">
        <v>304</v>
      </c>
      <c r="G32" s="172" t="s">
        <v>325</v>
      </c>
      <c r="H32" s="172" t="s">
        <v>326</v>
      </c>
      <c r="I32" s="5" t="s">
        <v>327</v>
      </c>
    </row>
    <row r="33" spans="1:9">
      <c r="D33" s="5" t="s">
        <v>328</v>
      </c>
      <c r="E33" s="5">
        <v>4</v>
      </c>
    </row>
    <row r="34" spans="1:9">
      <c r="D34" s="170" t="s">
        <v>329</v>
      </c>
      <c r="E34" s="169">
        <v>32</v>
      </c>
      <c r="F34" s="169"/>
    </row>
    <row r="35" spans="1:9">
      <c r="D35" s="167" t="s">
        <v>330</v>
      </c>
      <c r="E35" s="166">
        <f>ROUNDUP((HEX2DEC(E34)+HEX2DEC(E33)*B42)/B22,0)*B22</f>
        <v>58.212058212058217</v>
      </c>
      <c r="F35" s="166" t="s">
        <v>304</v>
      </c>
      <c r="G35" s="172" t="s">
        <v>331</v>
      </c>
      <c r="H35" s="172" t="s">
        <v>332</v>
      </c>
      <c r="I35" s="5" t="s">
        <v>333</v>
      </c>
    </row>
    <row r="36" spans="1:9">
      <c r="D36" s="170" t="s">
        <v>334</v>
      </c>
      <c r="E36" s="169">
        <v>38</v>
      </c>
      <c r="F36" s="169"/>
    </row>
    <row r="37" spans="1:9">
      <c r="D37" s="167" t="s">
        <v>335</v>
      </c>
      <c r="E37" s="166">
        <f>ROUNDUP(HEX2DEC(E36)/B22,0)*B22</f>
        <v>58.212058212058217</v>
      </c>
      <c r="F37" s="166" t="s">
        <v>304</v>
      </c>
      <c r="G37" s="172" t="s">
        <v>336</v>
      </c>
      <c r="H37" s="172" t="s">
        <v>326</v>
      </c>
      <c r="I37" s="5" t="s">
        <v>337</v>
      </c>
    </row>
    <row r="40" spans="1:9">
      <c r="A40" s="5" t="s">
        <v>338</v>
      </c>
      <c r="B40" s="5">
        <f>B11/16*(1-B13+1)</f>
        <v>120.25</v>
      </c>
      <c r="C40" s="5" t="s">
        <v>301</v>
      </c>
      <c r="D40" s="203" t="s">
        <v>339</v>
      </c>
      <c r="E40" s="203"/>
      <c r="F40" s="203"/>
    </row>
    <row r="41" spans="1:9">
      <c r="A41" s="5" t="s">
        <v>340</v>
      </c>
      <c r="B41" s="5">
        <f>1000/B40</f>
        <v>8.3160083160083165</v>
      </c>
      <c r="C41" s="5" t="s">
        <v>304</v>
      </c>
      <c r="D41" s="203"/>
      <c r="E41" s="203"/>
      <c r="F41" s="203"/>
    </row>
    <row r="42" spans="1:9">
      <c r="A42" s="5" t="s">
        <v>341</v>
      </c>
      <c r="B42" s="5">
        <f>ROUNDUP(1000/B11*2,0)/2</f>
        <v>1</v>
      </c>
      <c r="C42" s="5" t="s">
        <v>342</v>
      </c>
    </row>
    <row r="43" spans="1:9">
      <c r="E43" s="5" t="s">
        <v>305</v>
      </c>
      <c r="F43" s="5" t="s">
        <v>306</v>
      </c>
      <c r="G43" s="5" t="s">
        <v>307</v>
      </c>
      <c r="H43" s="5" t="s">
        <v>308</v>
      </c>
      <c r="I43" s="5" t="s">
        <v>309</v>
      </c>
    </row>
    <row r="44" spans="1:9">
      <c r="D44" s="5" t="s">
        <v>328</v>
      </c>
      <c r="E44" s="5">
        <v>4</v>
      </c>
    </row>
    <row r="45" spans="1:9">
      <c r="D45" s="170" t="s">
        <v>329</v>
      </c>
      <c r="E45" s="169">
        <v>32</v>
      </c>
      <c r="F45" s="169"/>
    </row>
    <row r="46" spans="1:9">
      <c r="D46" s="167" t="s">
        <v>330</v>
      </c>
      <c r="E46" s="166">
        <f>ROUNDUP((HEX2DEC(E45)+HEX2DEC(E44)*B42)/B41,0)*B41</f>
        <v>58.212058212058217</v>
      </c>
      <c r="F46" s="166" t="s">
        <v>304</v>
      </c>
      <c r="G46" s="172" t="s">
        <v>343</v>
      </c>
      <c r="H46" s="172" t="s">
        <v>344</v>
      </c>
      <c r="I46" s="5" t="s">
        <v>333</v>
      </c>
    </row>
    <row r="47" spans="1:9">
      <c r="D47" s="170" t="s">
        <v>345</v>
      </c>
      <c r="E47" s="169">
        <v>6</v>
      </c>
      <c r="F47" s="169"/>
    </row>
    <row r="48" spans="1:9">
      <c r="D48" s="170" t="s">
        <v>346</v>
      </c>
      <c r="E48" s="169">
        <v>0</v>
      </c>
      <c r="F48" s="169"/>
    </row>
    <row r="49" spans="4:9">
      <c r="D49" s="170" t="s">
        <v>347</v>
      </c>
      <c r="E49" s="169">
        <v>70</v>
      </c>
      <c r="F49" s="169"/>
    </row>
    <row r="50" spans="4:9">
      <c r="D50" s="167" t="s">
        <v>348</v>
      </c>
      <c r="E50" s="166">
        <f>ROUNDUP(((HEX2DEC(E48)*256+HEX2DEC(E49))+HEX2DEC(E47)*B42)/B41,0)*B41</f>
        <v>124.74012474012474</v>
      </c>
      <c r="F50" s="166" t="s">
        <v>304</v>
      </c>
      <c r="G50" s="172" t="s">
        <v>349</v>
      </c>
      <c r="H50" s="172" t="s">
        <v>326</v>
      </c>
      <c r="I50" s="5" t="s">
        <v>350</v>
      </c>
    </row>
    <row r="51" spans="4:9">
      <c r="D51" s="170" t="s">
        <v>351</v>
      </c>
      <c r="E51" s="169">
        <v>4</v>
      </c>
      <c r="F51" s="169"/>
    </row>
    <row r="52" spans="4:9">
      <c r="D52" s="170" t="s">
        <v>317</v>
      </c>
      <c r="E52" s="169">
        <v>0</v>
      </c>
      <c r="F52" s="169"/>
    </row>
    <row r="53" spans="4:9">
      <c r="D53" s="170" t="s">
        <v>318</v>
      </c>
      <c r="E53" s="169" t="s">
        <v>352</v>
      </c>
      <c r="F53" s="169"/>
    </row>
    <row r="54" spans="4:9">
      <c r="D54" s="167" t="s">
        <v>353</v>
      </c>
      <c r="E54" s="166">
        <f>ROUNDUP(((HEX2DEC(E52)*256+HEX2DEC(E53))+HEX2DEC(E51)*$B42)/$B41,0)*$B41</f>
        <v>66.528066528066532</v>
      </c>
      <c r="F54" s="166" t="s">
        <v>304</v>
      </c>
      <c r="G54" s="172" t="s">
        <v>354</v>
      </c>
      <c r="H54" s="172" t="s">
        <v>326</v>
      </c>
      <c r="I54" s="5" t="s">
        <v>355</v>
      </c>
    </row>
    <row r="55" spans="4:9">
      <c r="D55" s="170" t="s">
        <v>322</v>
      </c>
      <c r="E55" s="169">
        <v>0</v>
      </c>
      <c r="F55" s="169"/>
    </row>
    <row r="56" spans="4:9">
      <c r="D56" s="170" t="s">
        <v>323</v>
      </c>
      <c r="E56" s="169">
        <v>64</v>
      </c>
      <c r="F56" s="169"/>
    </row>
    <row r="57" spans="4:9">
      <c r="D57" s="167" t="s">
        <v>356</v>
      </c>
      <c r="E57" s="166">
        <f>ROUNDUP((HEX2DEC(E55)*256+HEX2DEC(E56))/$B41,0)*$B41</f>
        <v>108.10810810810811</v>
      </c>
      <c r="F57" s="166" t="s">
        <v>304</v>
      </c>
      <c r="G57" s="172" t="s">
        <v>325</v>
      </c>
      <c r="H57" s="172" t="s">
        <v>326</v>
      </c>
      <c r="I57" s="5" t="s">
        <v>378</v>
      </c>
    </row>
    <row r="58" spans="4:9">
      <c r="D58" s="170" t="s">
        <v>334</v>
      </c>
      <c r="E58" s="169">
        <v>32</v>
      </c>
      <c r="F58" s="169"/>
    </row>
    <row r="59" spans="4:9">
      <c r="D59" s="167" t="s">
        <v>335</v>
      </c>
      <c r="E59" s="166">
        <f>ROUNDUP(HEX2DEC(E58)/$B41,0)*$B41</f>
        <v>58.212058212058217</v>
      </c>
      <c r="F59" s="166" t="s">
        <v>304</v>
      </c>
      <c r="G59" s="172" t="s">
        <v>336</v>
      </c>
      <c r="H59" s="172" t="s">
        <v>326</v>
      </c>
      <c r="I59" s="5" t="s">
        <v>337</v>
      </c>
    </row>
    <row r="60" spans="4:9">
      <c r="D60" s="170" t="s">
        <v>357</v>
      </c>
      <c r="E60" s="169">
        <v>26</v>
      </c>
      <c r="F60" s="169"/>
    </row>
    <row r="61" spans="4:9">
      <c r="D61" s="167" t="s">
        <v>358</v>
      </c>
      <c r="E61" s="166">
        <f>ROUNDUP(HEX2DEC(E60)/$B41,0)*$B41</f>
        <v>41.580041580041581</v>
      </c>
      <c r="F61" s="166" t="s">
        <v>304</v>
      </c>
      <c r="G61" s="172" t="s">
        <v>331</v>
      </c>
      <c r="H61" s="172" t="s">
        <v>332</v>
      </c>
      <c r="I61" s="5" t="s">
        <v>359</v>
      </c>
    </row>
    <row r="62" spans="4:9">
      <c r="D62" s="170" t="s">
        <v>360</v>
      </c>
      <c r="E62" s="169">
        <v>1</v>
      </c>
      <c r="F62" s="169"/>
    </row>
    <row r="63" spans="4:9">
      <c r="D63" s="170" t="s">
        <v>361</v>
      </c>
      <c r="E63" s="169" t="s">
        <v>362</v>
      </c>
      <c r="F63" s="169"/>
    </row>
    <row r="64" spans="4:9">
      <c r="D64" s="167" t="s">
        <v>363</v>
      </c>
      <c r="E64" s="166">
        <f>ROUNDUP((HEX2DEC(E62)*256+HEX2DEC(E63))/$B41,0)*$B41</f>
        <v>307.69230769230774</v>
      </c>
      <c r="F64" s="166" t="s">
        <v>304</v>
      </c>
      <c r="G64" s="172" t="s">
        <v>364</v>
      </c>
      <c r="H64" s="172" t="s">
        <v>326</v>
      </c>
      <c r="I64" s="5" t="s">
        <v>365</v>
      </c>
    </row>
    <row r="65" spans="4:9">
      <c r="D65" s="170" t="s">
        <v>366</v>
      </c>
      <c r="E65" s="169">
        <v>0</v>
      </c>
      <c r="F65" s="169"/>
    </row>
    <row r="66" spans="4:9">
      <c r="D66" s="170" t="s">
        <v>367</v>
      </c>
      <c r="E66" s="169" t="s">
        <v>352</v>
      </c>
      <c r="F66" s="169"/>
    </row>
    <row r="67" spans="4:9">
      <c r="D67" s="167" t="s">
        <v>368</v>
      </c>
      <c r="E67" s="166">
        <f>ROUNDUP((HEX2DEC(E65)*256+HEX2DEC(E66))/$B41,0)*$B41</f>
        <v>66.528066528066532</v>
      </c>
      <c r="F67" s="166" t="s">
        <v>304</v>
      </c>
      <c r="G67" s="172" t="s">
        <v>369</v>
      </c>
      <c r="H67" s="172" t="s">
        <v>326</v>
      </c>
      <c r="I67" s="5" t="s">
        <v>370</v>
      </c>
    </row>
    <row r="68" spans="4:9">
      <c r="D68" s="170" t="s">
        <v>371</v>
      </c>
      <c r="E68" s="169">
        <v>34</v>
      </c>
      <c r="F68" s="169"/>
    </row>
    <row r="69" spans="4:9">
      <c r="D69" s="170" t="s">
        <v>372</v>
      </c>
      <c r="E69" s="169">
        <v>0</v>
      </c>
      <c r="F69" s="169"/>
    </row>
    <row r="70" spans="4:9">
      <c r="D70" s="170" t="s">
        <v>373</v>
      </c>
      <c r="E70" s="169" t="s">
        <v>352</v>
      </c>
      <c r="F70" s="169"/>
    </row>
    <row r="71" spans="4:9">
      <c r="D71" s="167" t="s">
        <v>374</v>
      </c>
      <c r="E71" s="166">
        <f>ROUNDUP(((HEX2DEC(E69)*256+HEX2DEC(E70))+HEX2DEC(E68)*$B42)/$B41,0)*$B41</f>
        <v>116.42411642411643</v>
      </c>
      <c r="F71" s="166" t="s">
        <v>304</v>
      </c>
      <c r="G71" s="172" t="s">
        <v>375</v>
      </c>
      <c r="H71" s="172" t="s">
        <v>326</v>
      </c>
      <c r="I71" s="5" t="s">
        <v>376</v>
      </c>
    </row>
  </sheetData>
  <mergeCells count="3">
    <mergeCell ref="D21:F22"/>
    <mergeCell ref="D40:F41"/>
    <mergeCell ref="A1:A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I32" sqref="I32"/>
    </sheetView>
  </sheetViews>
  <sheetFormatPr defaultColWidth="9" defaultRowHeight="14.25"/>
  <cols>
    <col min="1" max="1" width="17.75" style="34" customWidth="1"/>
    <col min="2" max="9" width="11.75" style="34" customWidth="1"/>
    <col min="10" max="12" width="9" style="34"/>
    <col min="13" max="14" width="10.625" style="34" customWidth="1"/>
    <col min="15" max="16384" width="9" style="34"/>
  </cols>
  <sheetData>
    <row r="1" spans="1:4" ht="42.75" customHeight="1" thickBot="1">
      <c r="A1" s="45" t="s">
        <v>13</v>
      </c>
      <c r="B1" s="45"/>
    </row>
    <row r="2" spans="1:4" ht="17.25" customHeight="1" thickBot="1">
      <c r="A2" s="44" t="s">
        <v>12</v>
      </c>
      <c r="B2" s="43" t="s">
        <v>11</v>
      </c>
      <c r="C2" s="42" t="s">
        <v>10</v>
      </c>
      <c r="D2" s="41" t="s">
        <v>9</v>
      </c>
    </row>
    <row r="3" spans="1:4">
      <c r="A3" s="205" t="s">
        <v>8</v>
      </c>
      <c r="B3" s="40" t="s">
        <v>5</v>
      </c>
      <c r="C3" s="39" t="s">
        <v>2</v>
      </c>
    </row>
    <row r="4" spans="1:4">
      <c r="A4" s="206"/>
      <c r="B4" s="38" t="s">
        <v>3</v>
      </c>
      <c r="C4" s="37" t="s">
        <v>7</v>
      </c>
    </row>
    <row r="5" spans="1:4">
      <c r="A5" s="207" t="s">
        <v>6</v>
      </c>
      <c r="B5" s="38" t="s">
        <v>5</v>
      </c>
      <c r="C5" s="37" t="s">
        <v>4</v>
      </c>
    </row>
    <row r="6" spans="1:4" ht="15" thickBot="1">
      <c r="A6" s="208"/>
      <c r="B6" s="36" t="s">
        <v>3</v>
      </c>
      <c r="C6" s="35" t="s">
        <v>2</v>
      </c>
    </row>
  </sheetData>
  <mergeCells count="2">
    <mergeCell ref="A3:A4"/>
    <mergeCell ref="A5:A6"/>
  </mergeCells>
  <phoneticPr fontId="10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selection sqref="A1:C2"/>
    </sheetView>
  </sheetViews>
  <sheetFormatPr defaultRowHeight="13.5"/>
  <cols>
    <col min="1" max="1" width="14.625" customWidth="1"/>
    <col min="2" max="2" width="12" customWidth="1"/>
    <col min="3" max="3" width="37.5" customWidth="1"/>
    <col min="4" max="7" width="12" customWidth="1"/>
    <col min="8" max="8" width="36.625" customWidth="1"/>
    <col min="9" max="10" width="12" customWidth="1"/>
  </cols>
  <sheetData>
    <row r="1" spans="1:9" ht="27" customHeight="1">
      <c r="A1" s="214" t="s">
        <v>72</v>
      </c>
      <c r="B1" s="214"/>
      <c r="C1" s="214"/>
      <c r="D1" s="46"/>
      <c r="E1" s="46"/>
      <c r="F1" s="46"/>
      <c r="G1" s="46"/>
      <c r="H1" s="46"/>
      <c r="I1" s="46"/>
    </row>
    <row r="2" spans="1:9">
      <c r="A2" s="214"/>
      <c r="B2" s="214"/>
      <c r="C2" s="214"/>
      <c r="D2" s="46"/>
      <c r="E2" s="46"/>
      <c r="F2" s="46"/>
      <c r="G2" s="46"/>
      <c r="H2" s="46"/>
      <c r="I2" s="46"/>
    </row>
    <row r="3" spans="1:9" ht="33">
      <c r="A3" s="48" t="s">
        <v>14</v>
      </c>
      <c r="B3" s="46"/>
      <c r="C3" s="47"/>
      <c r="D3" s="46"/>
      <c r="E3" s="46"/>
      <c r="F3" s="49" t="s">
        <v>15</v>
      </c>
      <c r="G3" s="46"/>
      <c r="H3" s="46"/>
      <c r="I3" s="46"/>
    </row>
    <row r="4" spans="1:9" ht="15" thickBot="1">
      <c r="A4" s="27"/>
      <c r="B4" s="46"/>
      <c r="C4" s="47"/>
      <c r="D4" s="46"/>
      <c r="E4" s="46"/>
      <c r="F4" s="46"/>
      <c r="G4" s="46"/>
      <c r="H4" s="46"/>
      <c r="I4" s="46"/>
    </row>
    <row r="5" spans="1:9" ht="14.25">
      <c r="A5" s="50"/>
      <c r="B5" s="51"/>
      <c r="C5" s="52"/>
      <c r="D5" s="51"/>
      <c r="E5" s="53"/>
      <c r="F5" s="54"/>
      <c r="G5" s="51"/>
      <c r="H5" s="51"/>
      <c r="I5" s="55"/>
    </row>
    <row r="6" spans="1:9" ht="14.25">
      <c r="A6" s="56" t="s">
        <v>73</v>
      </c>
      <c r="B6" s="57"/>
      <c r="C6" s="58"/>
      <c r="D6" s="57"/>
      <c r="E6" s="59"/>
      <c r="F6" s="60" t="s">
        <v>100</v>
      </c>
      <c r="G6" s="57"/>
      <c r="H6" s="70"/>
      <c r="I6" s="61"/>
    </row>
    <row r="7" spans="1:9" ht="14.25">
      <c r="A7" s="19" t="s">
        <v>16</v>
      </c>
      <c r="B7" s="19" t="s">
        <v>82</v>
      </c>
      <c r="C7" s="71" t="s">
        <v>74</v>
      </c>
      <c r="D7" s="57"/>
      <c r="E7" s="59"/>
      <c r="F7" s="19" t="s">
        <v>17</v>
      </c>
      <c r="G7" s="19" t="s">
        <v>18</v>
      </c>
      <c r="H7" s="74" t="s">
        <v>40</v>
      </c>
      <c r="I7" s="61"/>
    </row>
    <row r="8" spans="1:9" ht="14.25">
      <c r="A8" s="19" t="s">
        <v>19</v>
      </c>
      <c r="B8" s="19" t="s">
        <v>18</v>
      </c>
      <c r="C8" s="209" t="s">
        <v>41</v>
      </c>
      <c r="D8" s="57"/>
      <c r="E8" s="59"/>
      <c r="F8" s="19" t="s">
        <v>101</v>
      </c>
      <c r="G8" s="19" t="s">
        <v>102</v>
      </c>
      <c r="H8" s="74" t="s">
        <v>103</v>
      </c>
      <c r="I8" s="61"/>
    </row>
    <row r="9" spans="1:9" ht="14.25">
      <c r="A9" s="19" t="s">
        <v>20</v>
      </c>
      <c r="B9" s="62" t="s">
        <v>18</v>
      </c>
      <c r="C9" s="210"/>
      <c r="D9" s="57"/>
      <c r="E9" s="59"/>
      <c r="F9" s="62" t="s">
        <v>104</v>
      </c>
      <c r="G9" s="62" t="s">
        <v>105</v>
      </c>
      <c r="H9" s="81" t="s">
        <v>106</v>
      </c>
      <c r="I9" s="61"/>
    </row>
    <row r="10" spans="1:9" ht="14.25">
      <c r="A10" s="19" t="s">
        <v>21</v>
      </c>
      <c r="B10" s="62" t="s">
        <v>75</v>
      </c>
      <c r="C10" s="211"/>
      <c r="D10" s="57"/>
      <c r="E10" s="59"/>
      <c r="F10" s="62" t="s">
        <v>107</v>
      </c>
      <c r="G10" s="62" t="s">
        <v>47</v>
      </c>
      <c r="H10" s="81"/>
      <c r="I10" s="61"/>
    </row>
    <row r="11" spans="1:9" ht="14.25" customHeight="1">
      <c r="A11" s="19" t="s">
        <v>22</v>
      </c>
      <c r="B11" s="62" t="s">
        <v>18</v>
      </c>
      <c r="C11" s="209" t="s">
        <v>43</v>
      </c>
      <c r="D11" s="57"/>
      <c r="E11" s="59"/>
      <c r="F11" s="19" t="s">
        <v>108</v>
      </c>
      <c r="G11" s="62" t="s">
        <v>42</v>
      </c>
      <c r="H11" s="81"/>
      <c r="I11" s="61"/>
    </row>
    <row r="12" spans="1:9" ht="14.25">
      <c r="A12" s="19" t="s">
        <v>23</v>
      </c>
      <c r="B12" s="62" t="s">
        <v>76</v>
      </c>
      <c r="C12" s="211"/>
      <c r="D12" s="57"/>
      <c r="E12" s="59"/>
      <c r="F12" s="19" t="s">
        <v>109</v>
      </c>
      <c r="G12" s="62" t="s">
        <v>42</v>
      </c>
      <c r="H12" s="212" t="s">
        <v>115</v>
      </c>
      <c r="I12" s="61"/>
    </row>
    <row r="13" spans="1:9" ht="14.25">
      <c r="A13" s="19" t="s">
        <v>24</v>
      </c>
      <c r="B13" s="62" t="s">
        <v>18</v>
      </c>
      <c r="C13" s="213" t="s">
        <v>44</v>
      </c>
      <c r="D13" s="57"/>
      <c r="E13" s="59"/>
      <c r="F13" s="62" t="s">
        <v>110</v>
      </c>
      <c r="G13" s="62" t="s">
        <v>111</v>
      </c>
      <c r="H13" s="212"/>
      <c r="I13" s="61"/>
    </row>
    <row r="14" spans="1:9" ht="14.25">
      <c r="A14" s="19" t="s">
        <v>25</v>
      </c>
      <c r="B14" s="62" t="s">
        <v>77</v>
      </c>
      <c r="C14" s="213"/>
      <c r="D14" s="57"/>
      <c r="E14" s="59"/>
      <c r="F14" s="62" t="s">
        <v>45</v>
      </c>
      <c r="G14" s="62" t="s">
        <v>35</v>
      </c>
      <c r="H14" s="212" t="s">
        <v>38</v>
      </c>
      <c r="I14" s="61"/>
    </row>
    <row r="15" spans="1:9" ht="14.25">
      <c r="A15" s="19" t="s">
        <v>78</v>
      </c>
      <c r="B15" s="19" t="s">
        <v>35</v>
      </c>
      <c r="C15" s="71" t="s">
        <v>79</v>
      </c>
      <c r="D15" s="57"/>
      <c r="E15" s="59"/>
      <c r="F15" s="19" t="s">
        <v>46</v>
      </c>
      <c r="G15" s="19" t="s">
        <v>47</v>
      </c>
      <c r="H15" s="212"/>
      <c r="I15" s="61"/>
    </row>
    <row r="16" spans="1:9" ht="14.25">
      <c r="A16" s="72" t="s">
        <v>80</v>
      </c>
      <c r="B16" s="63"/>
      <c r="C16" s="64"/>
      <c r="D16" s="57"/>
      <c r="E16" s="59"/>
      <c r="F16" s="19" t="s">
        <v>112</v>
      </c>
      <c r="G16" s="19" t="s">
        <v>35</v>
      </c>
      <c r="H16" s="74" t="s">
        <v>113</v>
      </c>
      <c r="I16" s="61"/>
    </row>
    <row r="17" spans="1:9" ht="14.25">
      <c r="A17" s="63"/>
      <c r="B17" s="63"/>
      <c r="C17" s="64"/>
      <c r="D17" s="57"/>
      <c r="E17" s="59"/>
      <c r="F17" s="79"/>
      <c r="G17" s="79"/>
      <c r="H17" s="80"/>
      <c r="I17" s="61"/>
    </row>
    <row r="18" spans="1:9" ht="14.25">
      <c r="A18" s="63"/>
      <c r="B18" s="63"/>
      <c r="C18" s="64"/>
      <c r="D18" s="57"/>
      <c r="E18" s="59"/>
      <c r="F18" s="63"/>
      <c r="G18" s="63"/>
      <c r="H18" s="73"/>
      <c r="I18" s="61"/>
    </row>
    <row r="19" spans="1:9" ht="14.25">
      <c r="A19" s="63"/>
      <c r="B19" s="63"/>
      <c r="C19" s="64"/>
      <c r="D19" s="57"/>
      <c r="E19" s="59"/>
      <c r="F19" s="72"/>
      <c r="G19" s="63"/>
      <c r="H19" s="73"/>
      <c r="I19" s="61"/>
    </row>
    <row r="20" spans="1:9" ht="14.25">
      <c r="A20" s="63"/>
      <c r="B20" s="63"/>
      <c r="C20" s="64"/>
      <c r="D20" s="57"/>
      <c r="E20" s="59"/>
      <c r="F20" s="27"/>
      <c r="G20" s="57"/>
      <c r="H20" s="57"/>
      <c r="I20" s="61"/>
    </row>
    <row r="21" spans="1:9" ht="14.25">
      <c r="A21" s="63"/>
      <c r="B21" s="63"/>
      <c r="C21" s="64"/>
      <c r="D21" s="57"/>
      <c r="E21" s="59"/>
      <c r="F21" s="46"/>
      <c r="G21" s="46"/>
      <c r="H21" s="46"/>
      <c r="I21" s="61"/>
    </row>
    <row r="22" spans="1:9" ht="14.25">
      <c r="A22" s="56" t="s">
        <v>81</v>
      </c>
      <c r="B22" s="57"/>
      <c r="C22" s="58"/>
      <c r="D22" s="57"/>
      <c r="E22" s="59"/>
      <c r="F22" s="60" t="s">
        <v>48</v>
      </c>
      <c r="G22" s="57"/>
      <c r="H22" s="58"/>
      <c r="I22" s="61"/>
    </row>
    <row r="23" spans="1:9" ht="14.25">
      <c r="A23" s="19">
        <v>3002</v>
      </c>
      <c r="B23" s="19" t="s">
        <v>26</v>
      </c>
      <c r="C23" s="69" t="s">
        <v>83</v>
      </c>
      <c r="D23" s="57"/>
      <c r="E23" s="59"/>
      <c r="F23" s="19" t="s">
        <v>114</v>
      </c>
      <c r="G23" s="19" t="s">
        <v>26</v>
      </c>
      <c r="H23" s="71"/>
      <c r="I23" s="61"/>
    </row>
    <row r="24" spans="1:9" ht="14.25">
      <c r="A24" s="57"/>
      <c r="B24" s="57"/>
      <c r="C24" s="58"/>
      <c r="D24" s="57"/>
      <c r="E24" s="59"/>
      <c r="F24" s="19" t="s">
        <v>49</v>
      </c>
      <c r="G24" s="19" t="s">
        <v>50</v>
      </c>
      <c r="H24" s="74" t="s">
        <v>37</v>
      </c>
      <c r="I24" s="61"/>
    </row>
    <row r="25" spans="1:9">
      <c r="A25" s="46"/>
      <c r="B25" s="46"/>
      <c r="C25" s="47"/>
      <c r="D25" s="57"/>
      <c r="E25" s="59"/>
      <c r="F25" s="46"/>
      <c r="G25" s="46"/>
      <c r="H25" s="46"/>
      <c r="I25" s="61"/>
    </row>
    <row r="26" spans="1:9" ht="14.25" thickBot="1">
      <c r="A26" s="65"/>
      <c r="B26" s="66"/>
      <c r="C26" s="67"/>
      <c r="D26" s="66"/>
      <c r="E26" s="65"/>
      <c r="F26" s="66"/>
      <c r="G26" s="66"/>
      <c r="H26" s="66"/>
      <c r="I26" s="68"/>
    </row>
    <row r="27" spans="1:9" ht="14.25">
      <c r="A27" s="50"/>
      <c r="B27" s="51"/>
      <c r="C27" s="52"/>
      <c r="D27" s="51"/>
      <c r="E27" s="53"/>
      <c r="F27" s="54"/>
      <c r="G27" s="51"/>
      <c r="H27" s="51"/>
      <c r="I27" s="55"/>
    </row>
    <row r="28" spans="1:9" ht="14.25">
      <c r="A28" s="56" t="s">
        <v>84</v>
      </c>
      <c r="B28" s="57"/>
      <c r="C28" s="58"/>
      <c r="D28" s="57"/>
      <c r="E28" s="59"/>
      <c r="F28" s="60" t="s">
        <v>118</v>
      </c>
      <c r="G28" s="57"/>
      <c r="H28" s="70"/>
      <c r="I28" s="61"/>
    </row>
    <row r="29" spans="1:9" ht="14.25">
      <c r="A29" s="19" t="s">
        <v>16</v>
      </c>
      <c r="B29" s="19" t="s">
        <v>39</v>
      </c>
      <c r="C29" s="74" t="s">
        <v>85</v>
      </c>
      <c r="D29" s="57"/>
      <c r="E29" s="59"/>
      <c r="F29" s="19" t="s">
        <v>116</v>
      </c>
      <c r="G29" s="19" t="s">
        <v>76</v>
      </c>
      <c r="H29" s="74" t="s">
        <v>117</v>
      </c>
      <c r="I29" s="61"/>
    </row>
    <row r="30" spans="1:9" ht="14.25">
      <c r="A30" s="19" t="s">
        <v>86</v>
      </c>
      <c r="B30" s="19" t="s">
        <v>87</v>
      </c>
      <c r="C30" s="75" t="s">
        <v>88</v>
      </c>
      <c r="D30" s="57"/>
      <c r="E30" s="59"/>
      <c r="F30" s="19" t="s">
        <v>101</v>
      </c>
      <c r="G30" s="19" t="s">
        <v>102</v>
      </c>
      <c r="H30" s="74" t="s">
        <v>103</v>
      </c>
      <c r="I30" s="61"/>
    </row>
    <row r="31" spans="1:9" ht="14.25">
      <c r="A31" s="19" t="s">
        <v>89</v>
      </c>
      <c r="B31" s="19" t="s">
        <v>18</v>
      </c>
      <c r="C31" s="209" t="s">
        <v>41</v>
      </c>
      <c r="D31" s="57"/>
      <c r="E31" s="59"/>
      <c r="F31" s="62" t="s">
        <v>104</v>
      </c>
      <c r="G31" s="62" t="s">
        <v>105</v>
      </c>
      <c r="H31" s="81" t="s">
        <v>106</v>
      </c>
      <c r="I31" s="61"/>
    </row>
    <row r="32" spans="1:9" ht="14.25">
      <c r="A32" s="19" t="s">
        <v>90</v>
      </c>
      <c r="B32" s="62" t="s">
        <v>18</v>
      </c>
      <c r="C32" s="210"/>
      <c r="D32" s="57"/>
      <c r="E32" s="59"/>
      <c r="F32" s="62" t="s">
        <v>107</v>
      </c>
      <c r="G32" s="62" t="s">
        <v>47</v>
      </c>
      <c r="H32" s="81"/>
      <c r="I32" s="61"/>
    </row>
    <row r="33" spans="1:9" ht="14.25">
      <c r="A33" s="19" t="s">
        <v>91</v>
      </c>
      <c r="B33" s="62" t="s">
        <v>75</v>
      </c>
      <c r="C33" s="211"/>
      <c r="D33" s="57"/>
      <c r="E33" s="59"/>
      <c r="F33" s="19" t="s">
        <v>108</v>
      </c>
      <c r="G33" s="62" t="s">
        <v>42</v>
      </c>
      <c r="H33" s="81"/>
      <c r="I33" s="61"/>
    </row>
    <row r="34" spans="1:9" ht="14.25" customHeight="1">
      <c r="A34" s="19" t="s">
        <v>92</v>
      </c>
      <c r="B34" s="62" t="s">
        <v>18</v>
      </c>
      <c r="C34" s="209" t="s">
        <v>43</v>
      </c>
      <c r="D34" s="57"/>
      <c r="E34" s="59"/>
      <c r="F34" s="19" t="s">
        <v>109</v>
      </c>
      <c r="G34" s="62" t="s">
        <v>42</v>
      </c>
      <c r="H34" s="212" t="s">
        <v>115</v>
      </c>
      <c r="I34" s="61"/>
    </row>
    <row r="35" spans="1:9" ht="14.25">
      <c r="A35" s="19" t="s">
        <v>93</v>
      </c>
      <c r="B35" s="62" t="s">
        <v>76</v>
      </c>
      <c r="C35" s="211"/>
      <c r="D35" s="57"/>
      <c r="E35" s="59"/>
      <c r="F35" s="62" t="s">
        <v>110</v>
      </c>
      <c r="G35" s="62" t="s">
        <v>111</v>
      </c>
      <c r="H35" s="212"/>
      <c r="I35" s="61"/>
    </row>
    <row r="36" spans="1:9" ht="14.25">
      <c r="A36" s="19" t="s">
        <v>94</v>
      </c>
      <c r="B36" s="62" t="s">
        <v>18</v>
      </c>
      <c r="C36" s="213" t="s">
        <v>44</v>
      </c>
      <c r="D36" s="57"/>
      <c r="E36" s="59"/>
      <c r="F36" s="62" t="s">
        <v>45</v>
      </c>
      <c r="G36" s="62" t="s">
        <v>35</v>
      </c>
      <c r="H36" s="212" t="s">
        <v>38</v>
      </c>
      <c r="I36" s="61"/>
    </row>
    <row r="37" spans="1:9" ht="14.25">
      <c r="A37" s="19" t="s">
        <v>95</v>
      </c>
      <c r="B37" s="62" t="s">
        <v>77</v>
      </c>
      <c r="C37" s="213"/>
      <c r="D37" s="57"/>
      <c r="E37" s="59"/>
      <c r="F37" s="19" t="s">
        <v>46</v>
      </c>
      <c r="G37" s="19" t="s">
        <v>47</v>
      </c>
      <c r="H37" s="212"/>
      <c r="I37" s="61"/>
    </row>
    <row r="38" spans="1:9" ht="14.25">
      <c r="A38" s="19" t="s">
        <v>78</v>
      </c>
      <c r="B38" s="19" t="s">
        <v>35</v>
      </c>
      <c r="C38" s="74" t="s">
        <v>96</v>
      </c>
      <c r="D38" s="57"/>
      <c r="E38" s="59"/>
      <c r="F38" s="19" t="s">
        <v>112</v>
      </c>
      <c r="G38" s="19" t="s">
        <v>35</v>
      </c>
      <c r="H38" s="74" t="s">
        <v>113</v>
      </c>
      <c r="I38" s="61"/>
    </row>
    <row r="39" spans="1:9" ht="14.25">
      <c r="A39" s="72" t="s">
        <v>97</v>
      </c>
      <c r="B39" s="63"/>
      <c r="C39" s="64"/>
      <c r="D39" s="57"/>
      <c r="E39" s="59"/>
      <c r="F39" s="79"/>
      <c r="G39" s="79"/>
      <c r="H39" s="80"/>
      <c r="I39" s="61"/>
    </row>
    <row r="40" spans="1:9" ht="14.25">
      <c r="A40" s="63"/>
      <c r="B40" s="63"/>
      <c r="C40" s="64"/>
      <c r="D40" s="57"/>
      <c r="E40" s="59"/>
      <c r="F40" s="63"/>
      <c r="G40" s="63"/>
      <c r="H40" s="73"/>
      <c r="I40" s="61"/>
    </row>
    <row r="41" spans="1:9" ht="14.25">
      <c r="A41" s="63"/>
      <c r="B41" s="63"/>
      <c r="C41" s="64"/>
      <c r="D41" s="57"/>
      <c r="E41" s="59"/>
      <c r="F41" s="72"/>
      <c r="G41" s="63"/>
      <c r="H41" s="73"/>
      <c r="I41" s="61"/>
    </row>
    <row r="42" spans="1:9" ht="14.25">
      <c r="A42" s="63"/>
      <c r="B42" s="63"/>
      <c r="C42" s="64"/>
      <c r="D42" s="57"/>
      <c r="E42" s="59"/>
      <c r="F42" s="27"/>
      <c r="G42" s="57"/>
      <c r="H42" s="57"/>
      <c r="I42" s="61"/>
    </row>
    <row r="43" spans="1:9" ht="14.25">
      <c r="A43" s="63"/>
      <c r="B43" s="63"/>
      <c r="C43" s="64"/>
      <c r="D43" s="57"/>
      <c r="E43" s="59"/>
      <c r="F43" s="46"/>
      <c r="G43" s="46"/>
      <c r="H43" s="46"/>
      <c r="I43" s="61"/>
    </row>
    <row r="44" spans="1:9" ht="14.25">
      <c r="A44" s="63"/>
      <c r="B44" s="63"/>
      <c r="C44" s="64"/>
      <c r="D44" s="57"/>
      <c r="E44" s="59"/>
      <c r="F44" s="60" t="s">
        <v>48</v>
      </c>
      <c r="G44" s="57"/>
      <c r="H44" s="58"/>
      <c r="I44" s="61"/>
    </row>
    <row r="45" spans="1:9" ht="14.25">
      <c r="A45" s="56" t="s">
        <v>99</v>
      </c>
      <c r="B45" s="57"/>
      <c r="C45" s="58"/>
      <c r="D45" s="57"/>
      <c r="E45" s="59"/>
      <c r="F45" s="19" t="s">
        <v>114</v>
      </c>
      <c r="G45" s="19" t="s">
        <v>26</v>
      </c>
      <c r="H45" s="74"/>
      <c r="I45" s="61"/>
    </row>
    <row r="46" spans="1:9" ht="14.25">
      <c r="A46" s="19">
        <v>3002</v>
      </c>
      <c r="B46" s="19" t="s">
        <v>26</v>
      </c>
      <c r="C46" s="69" t="s">
        <v>98</v>
      </c>
      <c r="D46" s="57"/>
      <c r="E46" s="59"/>
      <c r="F46" s="19" t="s">
        <v>119</v>
      </c>
      <c r="G46" s="19" t="s">
        <v>26</v>
      </c>
      <c r="H46" s="74" t="s">
        <v>120</v>
      </c>
      <c r="I46" s="61"/>
    </row>
    <row r="47" spans="1:9">
      <c r="A47" s="57"/>
      <c r="B47" s="57"/>
      <c r="C47" s="58"/>
      <c r="D47" s="57"/>
      <c r="E47" s="59"/>
      <c r="F47" s="57"/>
      <c r="G47" s="57"/>
      <c r="H47" s="57"/>
      <c r="I47" s="61"/>
    </row>
    <row r="48" spans="1:9">
      <c r="A48" s="46"/>
      <c r="B48" s="46"/>
      <c r="C48" s="47"/>
      <c r="D48" s="57"/>
      <c r="E48" s="59"/>
      <c r="F48" s="46"/>
      <c r="G48" s="46"/>
      <c r="H48" s="46"/>
      <c r="I48" s="61"/>
    </row>
    <row r="49" spans="1:9" ht="14.25" thickBot="1">
      <c r="A49" s="65"/>
      <c r="B49" s="66"/>
      <c r="C49" s="67"/>
      <c r="D49" s="66"/>
      <c r="E49" s="65"/>
      <c r="F49" s="66"/>
      <c r="G49" s="66"/>
      <c r="H49" s="66"/>
      <c r="I49" s="68"/>
    </row>
  </sheetData>
  <mergeCells count="11">
    <mergeCell ref="A1:C2"/>
    <mergeCell ref="C13:C14"/>
    <mergeCell ref="C8:C10"/>
    <mergeCell ref="C11:C12"/>
    <mergeCell ref="H14:H15"/>
    <mergeCell ref="H12:H13"/>
    <mergeCell ref="C31:C33"/>
    <mergeCell ref="C34:C35"/>
    <mergeCell ref="H34:H35"/>
    <mergeCell ref="C36:C37"/>
    <mergeCell ref="H36:H37"/>
  </mergeCells>
  <phoneticPr fontId="10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10" sqref="A10"/>
    </sheetView>
  </sheetViews>
  <sheetFormatPr defaultRowHeight="14.25"/>
  <cols>
    <col min="1" max="16384" width="9" style="5"/>
  </cols>
  <sheetData>
    <row r="1" spans="1:4">
      <c r="A1" s="214" t="s">
        <v>204</v>
      </c>
      <c r="B1" s="214"/>
      <c r="C1" s="214"/>
    </row>
    <row r="2" spans="1:4">
      <c r="A2" s="214"/>
      <c r="B2" s="214"/>
      <c r="C2" s="214"/>
    </row>
    <row r="4" spans="1:4">
      <c r="A4" s="5" t="s">
        <v>205</v>
      </c>
    </row>
    <row r="5" spans="1:4">
      <c r="A5" s="5" t="s">
        <v>209</v>
      </c>
    </row>
    <row r="8" spans="1:4" ht="15">
      <c r="A8" s="125" t="s">
        <v>206</v>
      </c>
      <c r="B8" s="126"/>
      <c r="C8" s="126"/>
      <c r="D8" s="126"/>
    </row>
    <row r="9" spans="1:4" ht="15">
      <c r="A9" s="127"/>
    </row>
    <row r="10" spans="1:4" ht="15">
      <c r="A10" s="127" t="s">
        <v>207</v>
      </c>
    </row>
    <row r="11" spans="1:4" ht="15">
      <c r="A11" s="127" t="s">
        <v>210</v>
      </c>
    </row>
    <row r="12" spans="1:4" ht="15">
      <c r="A12" s="127" t="s">
        <v>211</v>
      </c>
    </row>
    <row r="13" spans="1:4" ht="15">
      <c r="A13" s="127" t="s">
        <v>212</v>
      </c>
    </row>
    <row r="14" spans="1:4" ht="15">
      <c r="A14" s="127" t="s">
        <v>213</v>
      </c>
    </row>
    <row r="15" spans="1:4" ht="15">
      <c r="A15" s="127" t="s">
        <v>214</v>
      </c>
    </row>
    <row r="16" spans="1:4" ht="15">
      <c r="A16" s="127" t="s">
        <v>208</v>
      </c>
    </row>
    <row r="17" spans="1:5" ht="15">
      <c r="A17" s="127"/>
    </row>
    <row r="20" spans="1:5" ht="15">
      <c r="A20" s="128"/>
      <c r="B20" s="10"/>
      <c r="C20" s="10"/>
      <c r="D20" s="10"/>
      <c r="E20" s="10"/>
    </row>
  </sheetData>
  <mergeCells count="1">
    <mergeCell ref="A1:C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1"/>
  <sheetViews>
    <sheetView zoomScaleNormal="100" workbookViewId="0">
      <selection activeCell="BK24" sqref="BK24"/>
    </sheetView>
  </sheetViews>
  <sheetFormatPr defaultRowHeight="13.5"/>
  <cols>
    <col min="1" max="1" width="2.25" style="16" customWidth="1"/>
    <col min="2" max="17" width="3" style="16" customWidth="1"/>
    <col min="18" max="53" width="2.5" style="16" customWidth="1"/>
    <col min="54" max="55" width="5.75" style="16" customWidth="1"/>
    <col min="56" max="57" width="2.75" style="16" customWidth="1"/>
    <col min="58" max="59" width="5.75" style="16" customWidth="1"/>
    <col min="60" max="61" width="2.625" style="16" customWidth="1"/>
    <col min="62" max="62" width="2.5" style="16" customWidth="1"/>
    <col min="63" max="16384" width="9" style="16"/>
  </cols>
  <sheetData>
    <row r="1" spans="1:61" s="82" customFormat="1" ht="14.25" customHeight="1">
      <c r="A1" s="320" t="s">
        <v>203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</row>
    <row r="2" spans="1:61" s="82" customFormat="1" ht="14.25" customHeight="1">
      <c r="A2" s="320"/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20"/>
    </row>
    <row r="3" spans="1:61" s="82" customFormat="1" ht="14.25" customHeight="1">
      <c r="A3" s="320"/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</row>
    <row r="4" spans="1:61" s="82" customFormat="1" ht="14.25" customHeight="1">
      <c r="A4" s="320"/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</row>
    <row r="5" spans="1:61" s="82" customFormat="1" ht="14.25"/>
    <row r="6" spans="1:61" s="82" customFormat="1" ht="14.25"/>
    <row r="7" spans="1:61" s="82" customFormat="1" ht="14.25"/>
    <row r="8" spans="1:61" s="82" customFormat="1" ht="15" thickBot="1"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</row>
    <row r="9" spans="1:61" s="82" customFormat="1" ht="14.25" customHeight="1">
      <c r="C9" s="83"/>
      <c r="D9" s="83"/>
      <c r="E9" s="83"/>
      <c r="F9" s="321" t="s">
        <v>183</v>
      </c>
      <c r="G9" s="322"/>
      <c r="H9" s="322"/>
      <c r="I9" s="322"/>
      <c r="J9" s="322"/>
      <c r="K9" s="322"/>
      <c r="L9" s="322"/>
      <c r="M9" s="322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  <c r="AA9" s="322"/>
      <c r="AB9" s="322"/>
      <c r="AC9" s="322"/>
      <c r="AD9" s="322"/>
      <c r="AE9" s="322"/>
      <c r="AF9" s="322"/>
      <c r="AG9" s="322"/>
      <c r="AH9" s="322"/>
      <c r="AI9" s="322"/>
      <c r="AJ9" s="322"/>
      <c r="AK9" s="322"/>
      <c r="AL9" s="322"/>
      <c r="AM9" s="322"/>
      <c r="AN9" s="322"/>
      <c r="AO9" s="322"/>
      <c r="AP9" s="322"/>
      <c r="AQ9" s="322"/>
      <c r="AR9" s="322"/>
      <c r="AS9" s="322"/>
      <c r="AT9" s="322"/>
      <c r="AU9" s="322"/>
      <c r="AV9" s="322"/>
      <c r="AW9" s="322"/>
      <c r="AX9" s="322"/>
      <c r="AY9" s="322"/>
      <c r="AZ9" s="322"/>
      <c r="BA9" s="322"/>
      <c r="BB9" s="322"/>
      <c r="BC9" s="322"/>
      <c r="BD9" s="322"/>
      <c r="BE9" s="322"/>
      <c r="BF9" s="322"/>
      <c r="BG9" s="322"/>
      <c r="BH9" s="322"/>
      <c r="BI9" s="323"/>
    </row>
    <row r="10" spans="1:61" s="82" customFormat="1" ht="14.25" customHeight="1">
      <c r="C10" s="84"/>
      <c r="D10" s="85"/>
      <c r="E10" s="85"/>
      <c r="F10" s="324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  <c r="AA10" s="325"/>
      <c r="AB10" s="325"/>
      <c r="AC10" s="325"/>
      <c r="AD10" s="325"/>
      <c r="AE10" s="325"/>
      <c r="AF10" s="325"/>
      <c r="AG10" s="325"/>
      <c r="AH10" s="325"/>
      <c r="AI10" s="325"/>
      <c r="AJ10" s="325"/>
      <c r="AK10" s="325"/>
      <c r="AL10" s="325"/>
      <c r="AM10" s="325"/>
      <c r="AN10" s="325"/>
      <c r="AO10" s="325"/>
      <c r="AP10" s="325"/>
      <c r="AQ10" s="325"/>
      <c r="AR10" s="325"/>
      <c r="AS10" s="325"/>
      <c r="AT10" s="325"/>
      <c r="AU10" s="325"/>
      <c r="AV10" s="325"/>
      <c r="AW10" s="325"/>
      <c r="AX10" s="325"/>
      <c r="AY10" s="325"/>
      <c r="AZ10" s="325"/>
      <c r="BA10" s="325"/>
      <c r="BB10" s="325"/>
      <c r="BC10" s="325"/>
      <c r="BD10" s="325"/>
      <c r="BE10" s="325"/>
      <c r="BF10" s="325"/>
      <c r="BG10" s="325"/>
      <c r="BH10" s="325"/>
      <c r="BI10" s="326"/>
    </row>
    <row r="11" spans="1:61" s="82" customFormat="1" ht="14.25" customHeight="1" thickBot="1">
      <c r="C11" s="83"/>
      <c r="D11" s="85"/>
      <c r="E11" s="85"/>
      <c r="F11" s="324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25"/>
      <c r="AI11" s="325"/>
      <c r="AJ11" s="325"/>
      <c r="AK11" s="325"/>
      <c r="AL11" s="325"/>
      <c r="AM11" s="325"/>
      <c r="AN11" s="325"/>
      <c r="AO11" s="325"/>
      <c r="AP11" s="325"/>
      <c r="AQ11" s="325"/>
      <c r="AR11" s="325"/>
      <c r="AS11" s="325"/>
      <c r="AT11" s="325"/>
      <c r="AU11" s="325"/>
      <c r="AV11" s="325"/>
      <c r="AW11" s="325"/>
      <c r="AX11" s="325"/>
      <c r="AY11" s="325"/>
      <c r="AZ11" s="325"/>
      <c r="BA11" s="325"/>
      <c r="BB11" s="325"/>
      <c r="BC11" s="325"/>
      <c r="BD11" s="325"/>
      <c r="BE11" s="325"/>
      <c r="BF11" s="325"/>
      <c r="BG11" s="325"/>
      <c r="BH11" s="325"/>
      <c r="BI11" s="326"/>
    </row>
    <row r="12" spans="1:61" s="82" customFormat="1" ht="14.25" customHeight="1">
      <c r="C12" s="83"/>
      <c r="D12" s="84"/>
      <c r="E12" s="84"/>
      <c r="F12" s="231" t="s">
        <v>121</v>
      </c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28">
        <v>16</v>
      </c>
      <c r="AI12" s="228"/>
      <c r="AJ12" s="359" t="s">
        <v>122</v>
      </c>
      <c r="AK12" s="359"/>
      <c r="AL12" s="359"/>
      <c r="AM12" s="359"/>
      <c r="AN12" s="359"/>
      <c r="AO12" s="359"/>
      <c r="AP12" s="359"/>
      <c r="AQ12" s="359"/>
      <c r="AR12" s="359"/>
      <c r="AS12" s="359"/>
      <c r="AT12" s="359"/>
      <c r="AU12" s="359"/>
      <c r="AV12" s="359"/>
      <c r="AW12" s="359"/>
      <c r="AX12" s="359"/>
      <c r="AY12" s="359"/>
      <c r="AZ12" s="359"/>
      <c r="BA12" s="359"/>
      <c r="BB12" s="359"/>
      <c r="BC12" s="359"/>
      <c r="BD12" s="359"/>
      <c r="BE12" s="359"/>
      <c r="BF12" s="359"/>
      <c r="BG12" s="359"/>
      <c r="BH12" s="228">
        <v>16</v>
      </c>
      <c r="BI12" s="327"/>
    </row>
    <row r="13" spans="1:61" s="82" customFormat="1" ht="14.25" customHeight="1">
      <c r="C13" s="83"/>
      <c r="D13" s="86"/>
      <c r="E13" s="86"/>
      <c r="F13" s="233" t="s">
        <v>123</v>
      </c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229">
        <v>4</v>
      </c>
      <c r="AI13" s="229"/>
      <c r="AJ13" s="258" t="s">
        <v>124</v>
      </c>
      <c r="AK13" s="258"/>
      <c r="AL13" s="258" t="s">
        <v>124</v>
      </c>
      <c r="AM13" s="258"/>
      <c r="AN13" s="258"/>
      <c r="AO13" s="258"/>
      <c r="AP13" s="258"/>
      <c r="AQ13" s="258"/>
      <c r="AR13" s="258"/>
      <c r="AS13" s="258"/>
      <c r="AT13" s="258"/>
      <c r="AU13" s="258"/>
      <c r="AV13" s="258"/>
      <c r="AW13" s="258"/>
      <c r="AX13" s="258"/>
      <c r="AY13" s="258"/>
      <c r="AZ13" s="258"/>
      <c r="BA13" s="258"/>
      <c r="BB13" s="258"/>
      <c r="BC13" s="258"/>
      <c r="BD13" s="258"/>
      <c r="BE13" s="258"/>
      <c r="BF13" s="258"/>
      <c r="BG13" s="258"/>
      <c r="BH13" s="229">
        <v>4</v>
      </c>
      <c r="BI13" s="360"/>
    </row>
    <row r="14" spans="1:61" s="82" customFormat="1" ht="14.25" customHeight="1">
      <c r="C14" s="83"/>
      <c r="D14" s="86"/>
      <c r="E14" s="86"/>
      <c r="F14" s="233" t="s">
        <v>125</v>
      </c>
      <c r="G14" s="234"/>
      <c r="H14" s="234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29">
        <v>4096</v>
      </c>
      <c r="AI14" s="229"/>
      <c r="AJ14" s="258" t="s">
        <v>126</v>
      </c>
      <c r="AK14" s="258"/>
      <c r="AL14" s="258" t="s">
        <v>126</v>
      </c>
      <c r="AM14" s="258"/>
      <c r="AN14" s="258"/>
      <c r="AO14" s="258"/>
      <c r="AP14" s="258"/>
      <c r="AQ14" s="258"/>
      <c r="AR14" s="258"/>
      <c r="AS14" s="258"/>
      <c r="AT14" s="258"/>
      <c r="AU14" s="258"/>
      <c r="AV14" s="258"/>
      <c r="AW14" s="258"/>
      <c r="AX14" s="258"/>
      <c r="AY14" s="258"/>
      <c r="AZ14" s="258"/>
      <c r="BA14" s="258"/>
      <c r="BB14" s="258"/>
      <c r="BC14" s="258"/>
      <c r="BD14" s="258"/>
      <c r="BE14" s="258"/>
      <c r="BF14" s="258"/>
      <c r="BG14" s="258"/>
      <c r="BH14" s="229">
        <v>3072</v>
      </c>
      <c r="BI14" s="360"/>
    </row>
    <row r="15" spans="1:61" s="82" customFormat="1" ht="14.25" customHeight="1">
      <c r="C15" s="83"/>
      <c r="D15" s="86"/>
      <c r="E15" s="86"/>
      <c r="F15" s="233" t="s">
        <v>127</v>
      </c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4"/>
      <c r="S15" s="234"/>
      <c r="T15" s="234"/>
      <c r="U15" s="234"/>
      <c r="V15" s="234"/>
      <c r="W15" s="234"/>
      <c r="X15" s="234"/>
      <c r="Y15" s="234"/>
      <c r="Z15" s="234"/>
      <c r="AA15" s="234"/>
      <c r="AB15" s="234"/>
      <c r="AC15" s="234"/>
      <c r="AD15" s="234"/>
      <c r="AE15" s="234"/>
      <c r="AF15" s="234"/>
      <c r="AG15" s="234"/>
      <c r="AH15" s="230">
        <v>992</v>
      </c>
      <c r="AI15" s="230"/>
      <c r="AJ15" s="258" t="s">
        <v>128</v>
      </c>
      <c r="AK15" s="258"/>
      <c r="AL15" s="258" t="s">
        <v>128</v>
      </c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30">
        <v>760</v>
      </c>
      <c r="BI15" s="358"/>
    </row>
    <row r="16" spans="1:61" s="82" customFormat="1" ht="14.25" customHeight="1">
      <c r="C16" s="83"/>
      <c r="D16" s="86"/>
      <c r="E16" s="86"/>
      <c r="F16" s="233" t="s">
        <v>129</v>
      </c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4"/>
      <c r="AG16" s="234"/>
      <c r="AH16" s="230">
        <v>64</v>
      </c>
      <c r="AI16" s="230"/>
      <c r="AJ16" s="258" t="s">
        <v>130</v>
      </c>
      <c r="AK16" s="258"/>
      <c r="AL16" s="258" t="s">
        <v>130</v>
      </c>
      <c r="AM16" s="258"/>
      <c r="AN16" s="258"/>
      <c r="AO16" s="258"/>
      <c r="AP16" s="258"/>
      <c r="AQ16" s="258"/>
      <c r="AR16" s="258"/>
      <c r="AS16" s="258"/>
      <c r="AT16" s="258"/>
      <c r="AU16" s="258"/>
      <c r="AV16" s="258"/>
      <c r="AW16" s="258"/>
      <c r="AX16" s="258"/>
      <c r="AY16" s="258"/>
      <c r="AZ16" s="258"/>
      <c r="BA16" s="258"/>
      <c r="BB16" s="258"/>
      <c r="BC16" s="258"/>
      <c r="BD16" s="258"/>
      <c r="BE16" s="258"/>
      <c r="BF16" s="258"/>
      <c r="BG16" s="258"/>
      <c r="BH16" s="230">
        <v>16</v>
      </c>
      <c r="BI16" s="358"/>
    </row>
    <row r="17" spans="3:61" s="82" customFormat="1" ht="14.25" customHeight="1">
      <c r="C17" s="83"/>
      <c r="D17" s="86"/>
      <c r="E17" s="86"/>
      <c r="F17" s="233" t="s">
        <v>131</v>
      </c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0">
        <v>248</v>
      </c>
      <c r="AI17" s="230"/>
      <c r="AJ17" s="258" t="s">
        <v>132</v>
      </c>
      <c r="AK17" s="258"/>
      <c r="AL17" s="258" t="s">
        <v>132</v>
      </c>
      <c r="AM17" s="258"/>
      <c r="AN17" s="258"/>
      <c r="AO17" s="258"/>
      <c r="AP17" s="258"/>
      <c r="AQ17" s="258"/>
      <c r="AR17" s="258"/>
      <c r="AS17" s="258"/>
      <c r="AT17" s="258"/>
      <c r="AU17" s="258"/>
      <c r="AV17" s="258"/>
      <c r="AW17" s="258"/>
      <c r="AX17" s="258"/>
      <c r="AY17" s="258"/>
      <c r="AZ17" s="258"/>
      <c r="BA17" s="258"/>
      <c r="BB17" s="258"/>
      <c r="BC17" s="258"/>
      <c r="BD17" s="258"/>
      <c r="BE17" s="258"/>
      <c r="BF17" s="258"/>
      <c r="BG17" s="258"/>
      <c r="BH17" s="230">
        <v>190</v>
      </c>
      <c r="BI17" s="358"/>
    </row>
    <row r="18" spans="3:61" s="82" customFormat="1" ht="14.25" customHeight="1">
      <c r="C18" s="83"/>
      <c r="D18" s="86"/>
      <c r="E18" s="86"/>
      <c r="F18" s="259" t="s">
        <v>184</v>
      </c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  <c r="BD18" s="260"/>
      <c r="BE18" s="260"/>
      <c r="BF18" s="260"/>
      <c r="BG18" s="260"/>
      <c r="BH18" s="260"/>
      <c r="BI18" s="261"/>
    </row>
    <row r="19" spans="3:61" s="82" customFormat="1" ht="14.25" customHeight="1" thickBot="1">
      <c r="C19" s="83"/>
      <c r="D19" s="86"/>
      <c r="E19" s="86"/>
      <c r="F19" s="262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3"/>
      <c r="AO19" s="263"/>
      <c r="AP19" s="263"/>
      <c r="AQ19" s="263"/>
      <c r="AR19" s="263"/>
      <c r="AS19" s="263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3"/>
      <c r="BH19" s="263"/>
      <c r="BI19" s="264"/>
    </row>
    <row r="20" spans="3:61" s="82" customFormat="1" ht="14.25" customHeight="1"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</row>
    <row r="21" spans="3:61" s="82" customFormat="1" ht="14.25" customHeight="1" thickBot="1"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</row>
    <row r="22" spans="3:61" s="82" customFormat="1" ht="14.25" customHeight="1">
      <c r="C22" s="83"/>
      <c r="D22" s="83"/>
      <c r="E22" s="83"/>
      <c r="F22" s="328" t="s">
        <v>201</v>
      </c>
      <c r="G22" s="329"/>
      <c r="H22" s="329"/>
      <c r="I22" s="329"/>
      <c r="J22" s="329"/>
      <c r="K22" s="329"/>
      <c r="L22" s="329"/>
      <c r="M22" s="329"/>
      <c r="N22" s="329"/>
      <c r="O22" s="329"/>
      <c r="P22" s="329"/>
      <c r="Q22" s="329"/>
      <c r="R22" s="329"/>
      <c r="S22" s="329"/>
      <c r="T22" s="329"/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329"/>
      <c r="AK22" s="329"/>
      <c r="AL22" s="329"/>
      <c r="AM22" s="329"/>
      <c r="AN22" s="329"/>
      <c r="AO22" s="329"/>
      <c r="AP22" s="329"/>
      <c r="AQ22" s="329"/>
      <c r="AR22" s="329"/>
      <c r="AS22" s="329"/>
      <c r="AT22" s="329"/>
      <c r="AU22" s="329"/>
      <c r="AV22" s="329"/>
      <c r="AW22" s="329"/>
      <c r="AX22" s="329"/>
      <c r="AY22" s="329"/>
      <c r="AZ22" s="329"/>
      <c r="BA22" s="329"/>
      <c r="BB22" s="329"/>
      <c r="BC22" s="329"/>
      <c r="BD22" s="329"/>
      <c r="BE22" s="329"/>
      <c r="BF22" s="329"/>
      <c r="BG22" s="329"/>
      <c r="BH22" s="329"/>
      <c r="BI22" s="330"/>
    </row>
    <row r="23" spans="3:61" s="82" customFormat="1" ht="14.25" customHeight="1">
      <c r="C23" s="83"/>
      <c r="D23" s="83"/>
      <c r="E23" s="83"/>
      <c r="F23" s="331"/>
      <c r="G23" s="332"/>
      <c r="H23" s="332"/>
      <c r="I23" s="332"/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  <c r="AA23" s="332"/>
      <c r="AB23" s="332"/>
      <c r="AC23" s="332"/>
      <c r="AD23" s="332"/>
      <c r="AE23" s="332"/>
      <c r="AF23" s="332"/>
      <c r="AG23" s="332"/>
      <c r="AH23" s="332"/>
      <c r="AI23" s="332"/>
      <c r="AJ23" s="332"/>
      <c r="AK23" s="332"/>
      <c r="AL23" s="332"/>
      <c r="AM23" s="332"/>
      <c r="AN23" s="332"/>
      <c r="AO23" s="332"/>
      <c r="AP23" s="332"/>
      <c r="AQ23" s="332"/>
      <c r="AR23" s="332"/>
      <c r="AS23" s="332"/>
      <c r="AT23" s="332"/>
      <c r="AU23" s="332"/>
      <c r="AV23" s="332"/>
      <c r="AW23" s="332"/>
      <c r="AX23" s="332"/>
      <c r="AY23" s="332"/>
      <c r="AZ23" s="332"/>
      <c r="BA23" s="332"/>
      <c r="BB23" s="332"/>
      <c r="BC23" s="332"/>
      <c r="BD23" s="332"/>
      <c r="BE23" s="332"/>
      <c r="BF23" s="332"/>
      <c r="BG23" s="332"/>
      <c r="BH23" s="332"/>
      <c r="BI23" s="333"/>
    </row>
    <row r="24" spans="3:61" s="82" customFormat="1" ht="14.25" customHeight="1" thickBot="1">
      <c r="C24" s="83"/>
      <c r="D24" s="83"/>
      <c r="E24" s="83"/>
      <c r="F24" s="334"/>
      <c r="G24" s="335"/>
      <c r="H24" s="335"/>
      <c r="I24" s="335"/>
      <c r="J24" s="335"/>
      <c r="K24" s="335"/>
      <c r="L24" s="335"/>
      <c r="M24" s="335"/>
      <c r="N24" s="335"/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5"/>
      <c r="Z24" s="335"/>
      <c r="AA24" s="335"/>
      <c r="AB24" s="335"/>
      <c r="AC24" s="335"/>
      <c r="AD24" s="335"/>
      <c r="AE24" s="335"/>
      <c r="AF24" s="335"/>
      <c r="AG24" s="335"/>
      <c r="AH24" s="335"/>
      <c r="AI24" s="335"/>
      <c r="AJ24" s="335"/>
      <c r="AK24" s="335"/>
      <c r="AL24" s="335"/>
      <c r="AM24" s="335"/>
      <c r="AN24" s="335"/>
      <c r="AO24" s="335"/>
      <c r="AP24" s="335"/>
      <c r="AQ24" s="335"/>
      <c r="AR24" s="335"/>
      <c r="AS24" s="335"/>
      <c r="AT24" s="335"/>
      <c r="AU24" s="335"/>
      <c r="AV24" s="335"/>
      <c r="AW24" s="335"/>
      <c r="AX24" s="335"/>
      <c r="AY24" s="335"/>
      <c r="AZ24" s="335"/>
      <c r="BA24" s="335"/>
      <c r="BB24" s="335"/>
      <c r="BC24" s="335"/>
      <c r="BD24" s="335"/>
      <c r="BE24" s="335"/>
      <c r="BF24" s="335"/>
      <c r="BG24" s="335"/>
      <c r="BH24" s="335"/>
      <c r="BI24" s="336"/>
    </row>
    <row r="25" spans="3:61" s="82" customFormat="1" ht="14.25" customHeight="1">
      <c r="C25" s="83"/>
      <c r="D25" s="83"/>
      <c r="E25" s="83"/>
      <c r="F25" s="337" t="s">
        <v>133</v>
      </c>
      <c r="G25" s="338"/>
      <c r="H25" s="338"/>
      <c r="I25" s="338"/>
      <c r="J25" s="338"/>
      <c r="K25" s="338"/>
      <c r="L25" s="338"/>
      <c r="M25" s="338"/>
      <c r="N25" s="338"/>
      <c r="O25" s="338"/>
      <c r="P25" s="338"/>
      <c r="Q25" s="338"/>
      <c r="R25" s="338"/>
      <c r="S25" s="338"/>
      <c r="T25" s="338"/>
      <c r="U25" s="338"/>
      <c r="V25" s="338"/>
      <c r="W25" s="338"/>
      <c r="X25" s="338"/>
      <c r="Y25" s="338"/>
      <c r="Z25" s="338"/>
      <c r="AA25" s="338"/>
      <c r="AB25" s="338"/>
      <c r="AC25" s="338"/>
      <c r="AD25" s="338"/>
      <c r="AE25" s="338"/>
      <c r="AF25" s="338"/>
      <c r="AG25" s="338"/>
      <c r="AH25" s="338"/>
      <c r="AI25" s="338"/>
      <c r="AJ25" s="338"/>
      <c r="AK25" s="338"/>
      <c r="AL25" s="338"/>
      <c r="AM25" s="338"/>
      <c r="AN25" s="338"/>
      <c r="AO25" s="338"/>
      <c r="AP25" s="338"/>
      <c r="AQ25" s="338"/>
      <c r="AR25" s="338"/>
      <c r="AS25" s="338"/>
      <c r="AT25" s="338"/>
      <c r="AU25" s="338"/>
      <c r="AV25" s="338"/>
      <c r="AW25" s="338"/>
      <c r="AX25" s="338"/>
      <c r="AY25" s="339"/>
      <c r="AZ25" s="343" t="s">
        <v>134</v>
      </c>
      <c r="BA25" s="344"/>
      <c r="BB25" s="344"/>
      <c r="BC25" s="344"/>
      <c r="BD25" s="344"/>
      <c r="BE25" s="344"/>
      <c r="BF25" s="344"/>
      <c r="BG25" s="344"/>
      <c r="BH25" s="344"/>
      <c r="BI25" s="345"/>
    </row>
    <row r="26" spans="3:61" s="82" customFormat="1" ht="14.25" customHeight="1" thickBot="1">
      <c r="C26" s="83"/>
      <c r="D26" s="83"/>
      <c r="E26" s="83"/>
      <c r="F26" s="340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  <c r="AA26" s="341"/>
      <c r="AB26" s="341"/>
      <c r="AC26" s="341"/>
      <c r="AD26" s="341"/>
      <c r="AE26" s="341"/>
      <c r="AF26" s="341"/>
      <c r="AG26" s="341"/>
      <c r="AH26" s="341"/>
      <c r="AI26" s="341"/>
      <c r="AJ26" s="341"/>
      <c r="AK26" s="341"/>
      <c r="AL26" s="341"/>
      <c r="AM26" s="341"/>
      <c r="AN26" s="341"/>
      <c r="AO26" s="341"/>
      <c r="AP26" s="341"/>
      <c r="AQ26" s="341"/>
      <c r="AR26" s="341"/>
      <c r="AS26" s="341"/>
      <c r="AT26" s="341"/>
      <c r="AU26" s="341"/>
      <c r="AV26" s="341"/>
      <c r="AW26" s="341"/>
      <c r="AX26" s="341"/>
      <c r="AY26" s="342"/>
      <c r="AZ26" s="346"/>
      <c r="BA26" s="347"/>
      <c r="BB26" s="347"/>
      <c r="BC26" s="347"/>
      <c r="BD26" s="347"/>
      <c r="BE26" s="347"/>
      <c r="BF26" s="347"/>
      <c r="BG26" s="347"/>
      <c r="BH26" s="347"/>
      <c r="BI26" s="348"/>
    </row>
    <row r="27" spans="3:61" s="82" customFormat="1" ht="14.25" customHeight="1" thickBot="1">
      <c r="C27" s="87"/>
      <c r="D27" s="83"/>
      <c r="E27" s="83"/>
      <c r="F27" s="352" t="s">
        <v>135</v>
      </c>
      <c r="G27" s="353"/>
      <c r="H27" s="353"/>
      <c r="I27" s="353"/>
      <c r="J27" s="353"/>
      <c r="K27" s="353"/>
      <c r="L27" s="353"/>
      <c r="M27" s="353"/>
      <c r="N27" s="353"/>
      <c r="O27" s="353"/>
      <c r="P27" s="353"/>
      <c r="Q27" s="353"/>
      <c r="R27" s="353"/>
      <c r="S27" s="353"/>
      <c r="T27" s="353"/>
      <c r="U27" s="353"/>
      <c r="V27" s="353"/>
      <c r="W27" s="353"/>
      <c r="X27" s="353"/>
      <c r="Y27" s="353"/>
      <c r="Z27" s="353"/>
      <c r="AA27" s="353"/>
      <c r="AB27" s="353"/>
      <c r="AC27" s="353"/>
      <c r="AD27" s="353"/>
      <c r="AE27" s="353"/>
      <c r="AF27" s="354"/>
      <c r="AG27" s="355" t="s">
        <v>136</v>
      </c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7"/>
      <c r="AZ27" s="349"/>
      <c r="BA27" s="350"/>
      <c r="BB27" s="350"/>
      <c r="BC27" s="350"/>
      <c r="BD27" s="350"/>
      <c r="BE27" s="350"/>
      <c r="BF27" s="350"/>
      <c r="BG27" s="350"/>
      <c r="BH27" s="350"/>
      <c r="BI27" s="351"/>
    </row>
    <row r="28" spans="3:61" s="82" customFormat="1" ht="14.25" customHeight="1" thickBot="1">
      <c r="C28" s="314" t="s">
        <v>137</v>
      </c>
      <c r="D28" s="315"/>
      <c r="E28" s="314"/>
      <c r="F28" s="316"/>
      <c r="G28" s="88">
        <v>0</v>
      </c>
      <c r="H28" s="88">
        <v>1</v>
      </c>
      <c r="I28" s="88">
        <v>2</v>
      </c>
      <c r="J28" s="88">
        <v>3</v>
      </c>
      <c r="K28" s="88">
        <v>4</v>
      </c>
      <c r="L28" s="88">
        <v>5</v>
      </c>
      <c r="M28" s="88">
        <v>6</v>
      </c>
      <c r="N28" s="88">
        <v>7</v>
      </c>
      <c r="O28" s="88">
        <v>8</v>
      </c>
      <c r="P28" s="88">
        <v>9</v>
      </c>
      <c r="Q28" s="88">
        <v>10</v>
      </c>
      <c r="R28" s="88">
        <v>11</v>
      </c>
      <c r="S28" s="88">
        <v>12</v>
      </c>
      <c r="T28" s="88">
        <v>13</v>
      </c>
      <c r="U28" s="88">
        <v>14</v>
      </c>
      <c r="V28" s="88">
        <v>15</v>
      </c>
      <c r="W28" s="317" t="s">
        <v>138</v>
      </c>
      <c r="X28" s="317"/>
      <c r="Y28" s="317">
        <v>4094</v>
      </c>
      <c r="Z28" s="317"/>
      <c r="AA28" s="317">
        <v>4095</v>
      </c>
      <c r="AB28" s="317"/>
      <c r="AC28" s="88"/>
      <c r="AD28" s="88"/>
      <c r="AE28" s="88"/>
      <c r="AF28" s="89"/>
      <c r="AG28" s="90">
        <v>0</v>
      </c>
      <c r="AH28" s="90">
        <v>1</v>
      </c>
      <c r="AI28" s="90">
        <v>2</v>
      </c>
      <c r="AJ28" s="90">
        <v>3</v>
      </c>
      <c r="AK28" s="318" t="s">
        <v>138</v>
      </c>
      <c r="AL28" s="318"/>
      <c r="AM28" s="318"/>
      <c r="AN28" s="318"/>
      <c r="AO28" s="318"/>
      <c r="AP28" s="318"/>
      <c r="AQ28" s="319">
        <v>1014</v>
      </c>
      <c r="AR28" s="319"/>
      <c r="AS28" s="319">
        <v>1015</v>
      </c>
      <c r="AT28" s="319"/>
      <c r="AU28" s="90"/>
      <c r="AV28" s="90"/>
      <c r="AW28" s="91"/>
      <c r="AX28" s="92"/>
      <c r="AY28" s="90"/>
      <c r="AZ28" s="292" t="s">
        <v>139</v>
      </c>
      <c r="BA28" s="293"/>
      <c r="BB28" s="296" t="s">
        <v>140</v>
      </c>
      <c r="BC28" s="297"/>
      <c r="BD28" s="297"/>
      <c r="BE28" s="298"/>
      <c r="BF28" s="296" t="s">
        <v>141</v>
      </c>
      <c r="BG28" s="297"/>
      <c r="BH28" s="297"/>
      <c r="BI28" s="299"/>
    </row>
    <row r="29" spans="3:61" s="82" customFormat="1" ht="14.25" customHeight="1">
      <c r="C29" s="238"/>
      <c r="D29" s="239"/>
      <c r="E29" s="216">
        <v>0</v>
      </c>
      <c r="F29" s="217"/>
      <c r="G29" s="93" t="s">
        <v>142</v>
      </c>
      <c r="H29" s="94" t="s">
        <v>143</v>
      </c>
      <c r="I29" s="93" t="s">
        <v>142</v>
      </c>
      <c r="J29" s="94" t="s">
        <v>143</v>
      </c>
      <c r="K29" s="95" t="s">
        <v>142</v>
      </c>
      <c r="L29" s="94" t="s">
        <v>143</v>
      </c>
      <c r="M29" s="95" t="s">
        <v>142</v>
      </c>
      <c r="N29" s="94" t="s">
        <v>143</v>
      </c>
      <c r="O29" s="95" t="s">
        <v>142</v>
      </c>
      <c r="P29" s="94" t="s">
        <v>143</v>
      </c>
      <c r="Q29" s="95" t="s">
        <v>142</v>
      </c>
      <c r="R29" s="94" t="s">
        <v>143</v>
      </c>
      <c r="S29" s="95" t="s">
        <v>142</v>
      </c>
      <c r="T29" s="94" t="s">
        <v>143</v>
      </c>
      <c r="U29" s="95" t="s">
        <v>142</v>
      </c>
      <c r="V29" s="94" t="s">
        <v>143</v>
      </c>
      <c r="W29" s="249" t="s">
        <v>144</v>
      </c>
      <c r="X29" s="249"/>
      <c r="Y29" s="249"/>
      <c r="Z29" s="249"/>
      <c r="AA29" s="249"/>
      <c r="AB29" s="249"/>
      <c r="AC29" s="224" t="s">
        <v>145</v>
      </c>
      <c r="AD29" s="224"/>
      <c r="AE29" s="224"/>
      <c r="AF29" s="224"/>
      <c r="AG29" s="306" t="s">
        <v>202</v>
      </c>
      <c r="AH29" s="307"/>
      <c r="AI29" s="307"/>
      <c r="AJ29" s="307"/>
      <c r="AK29" s="307"/>
      <c r="AL29" s="307"/>
      <c r="AM29" s="307"/>
      <c r="AN29" s="307"/>
      <c r="AO29" s="307"/>
      <c r="AP29" s="307"/>
      <c r="AQ29" s="307"/>
      <c r="AR29" s="307"/>
      <c r="AS29" s="307"/>
      <c r="AT29" s="307"/>
      <c r="AU29" s="307"/>
      <c r="AV29" s="307"/>
      <c r="AW29" s="308"/>
      <c r="AX29" s="312"/>
      <c r="AY29" s="288"/>
      <c r="AZ29" s="294"/>
      <c r="BA29" s="295"/>
      <c r="BB29" s="279" t="s">
        <v>146</v>
      </c>
      <c r="BC29" s="280"/>
      <c r="BD29" s="279" t="s">
        <v>147</v>
      </c>
      <c r="BE29" s="280"/>
      <c r="BF29" s="279" t="s">
        <v>146</v>
      </c>
      <c r="BG29" s="280"/>
      <c r="BH29" s="279" t="s">
        <v>147</v>
      </c>
      <c r="BI29" s="280"/>
    </row>
    <row r="30" spans="3:61" s="82" customFormat="1" ht="14.25" customHeight="1" thickBot="1">
      <c r="C30" s="238"/>
      <c r="D30" s="239"/>
      <c r="E30" s="216">
        <v>1</v>
      </c>
      <c r="F30" s="217"/>
      <c r="G30" s="96" t="s">
        <v>143</v>
      </c>
      <c r="H30" s="97" t="s">
        <v>141</v>
      </c>
      <c r="I30" s="96" t="s">
        <v>143</v>
      </c>
      <c r="J30" s="97" t="s">
        <v>141</v>
      </c>
      <c r="K30" s="94" t="s">
        <v>143</v>
      </c>
      <c r="L30" s="97" t="s">
        <v>141</v>
      </c>
      <c r="M30" s="94" t="s">
        <v>143</v>
      </c>
      <c r="N30" s="97" t="s">
        <v>141</v>
      </c>
      <c r="O30" s="94" t="s">
        <v>143</v>
      </c>
      <c r="P30" s="97" t="s">
        <v>141</v>
      </c>
      <c r="Q30" s="94" t="s">
        <v>143</v>
      </c>
      <c r="R30" s="97" t="s">
        <v>141</v>
      </c>
      <c r="S30" s="94" t="s">
        <v>143</v>
      </c>
      <c r="T30" s="97" t="s">
        <v>141</v>
      </c>
      <c r="U30" s="94" t="s">
        <v>143</v>
      </c>
      <c r="V30" s="97" t="s">
        <v>141</v>
      </c>
      <c r="W30" s="252"/>
      <c r="X30" s="252"/>
      <c r="Y30" s="252"/>
      <c r="Z30" s="252"/>
      <c r="AA30" s="252"/>
      <c r="AB30" s="252"/>
      <c r="AC30" s="284"/>
      <c r="AD30" s="284"/>
      <c r="AE30" s="284"/>
      <c r="AF30" s="284"/>
      <c r="AG30" s="309"/>
      <c r="AH30" s="310"/>
      <c r="AI30" s="310"/>
      <c r="AJ30" s="310"/>
      <c r="AK30" s="310"/>
      <c r="AL30" s="310"/>
      <c r="AM30" s="310"/>
      <c r="AN30" s="310"/>
      <c r="AO30" s="310"/>
      <c r="AP30" s="310"/>
      <c r="AQ30" s="310"/>
      <c r="AR30" s="310"/>
      <c r="AS30" s="310"/>
      <c r="AT30" s="310"/>
      <c r="AU30" s="310"/>
      <c r="AV30" s="310"/>
      <c r="AW30" s="311"/>
      <c r="AX30" s="312"/>
      <c r="AY30" s="288"/>
      <c r="AZ30" s="294"/>
      <c r="BA30" s="295"/>
      <c r="BB30" s="281"/>
      <c r="BC30" s="282"/>
      <c r="BD30" s="281"/>
      <c r="BE30" s="282"/>
      <c r="BF30" s="281"/>
      <c r="BG30" s="282"/>
      <c r="BH30" s="281"/>
      <c r="BI30" s="282"/>
    </row>
    <row r="31" spans="3:61" s="82" customFormat="1" ht="14.25" customHeight="1">
      <c r="C31" s="238"/>
      <c r="D31" s="239"/>
      <c r="E31" s="216">
        <v>2</v>
      </c>
      <c r="F31" s="217"/>
      <c r="G31" s="93" t="s">
        <v>142</v>
      </c>
      <c r="H31" s="94" t="s">
        <v>143</v>
      </c>
      <c r="I31" s="95" t="s">
        <v>142</v>
      </c>
      <c r="J31" s="94" t="s">
        <v>143</v>
      </c>
      <c r="K31" s="95" t="s">
        <v>142</v>
      </c>
      <c r="L31" s="98" t="s">
        <v>148</v>
      </c>
      <c r="M31" s="98" t="s">
        <v>149</v>
      </c>
      <c r="N31" s="94" t="s">
        <v>143</v>
      </c>
      <c r="O31" s="95" t="s">
        <v>142</v>
      </c>
      <c r="P31" s="94" t="s">
        <v>143</v>
      </c>
      <c r="Q31" s="95" t="s">
        <v>142</v>
      </c>
      <c r="R31" s="94" t="s">
        <v>143</v>
      </c>
      <c r="S31" s="95" t="s">
        <v>142</v>
      </c>
      <c r="T31" s="98" t="s">
        <v>150</v>
      </c>
      <c r="U31" s="98" t="s">
        <v>151</v>
      </c>
      <c r="V31" s="94" t="s">
        <v>143</v>
      </c>
      <c r="W31" s="252"/>
      <c r="X31" s="252"/>
      <c r="Y31" s="252"/>
      <c r="Z31" s="252"/>
      <c r="AA31" s="252"/>
      <c r="AB31" s="252"/>
      <c r="AC31" s="284"/>
      <c r="AD31" s="284"/>
      <c r="AE31" s="284"/>
      <c r="AF31" s="285"/>
      <c r="AG31" s="122" t="s">
        <v>152</v>
      </c>
      <c r="AH31" s="122" t="s">
        <v>153</v>
      </c>
      <c r="AI31" s="122" t="s">
        <v>154</v>
      </c>
      <c r="AJ31" s="122" t="s">
        <v>155</v>
      </c>
      <c r="AK31" s="122"/>
      <c r="AL31" s="122"/>
      <c r="AM31" s="122"/>
      <c r="AN31" s="122"/>
      <c r="AO31" s="122"/>
      <c r="AP31" s="122"/>
      <c r="AQ31" s="122"/>
      <c r="AR31" s="123" t="s">
        <v>140</v>
      </c>
      <c r="AS31" s="122"/>
      <c r="AT31" s="124" t="s">
        <v>141</v>
      </c>
      <c r="AU31" s="284" t="s">
        <v>145</v>
      </c>
      <c r="AV31" s="284"/>
      <c r="AW31" s="313"/>
      <c r="AX31" s="216">
        <v>0</v>
      </c>
      <c r="AY31" s="257"/>
      <c r="AZ31" s="294"/>
      <c r="BA31" s="295"/>
      <c r="BB31" s="102" t="s">
        <v>156</v>
      </c>
      <c r="BC31" s="102" t="s">
        <v>157</v>
      </c>
      <c r="BD31" s="103" t="s">
        <v>156</v>
      </c>
      <c r="BE31" s="103" t="s">
        <v>157</v>
      </c>
      <c r="BF31" s="102" t="s">
        <v>156</v>
      </c>
      <c r="BG31" s="104" t="s">
        <v>157</v>
      </c>
      <c r="BH31" s="103" t="s">
        <v>156</v>
      </c>
      <c r="BI31" s="105" t="s">
        <v>157</v>
      </c>
    </row>
    <row r="32" spans="3:61" s="82" customFormat="1" ht="14.25" customHeight="1">
      <c r="C32" s="238"/>
      <c r="D32" s="239"/>
      <c r="E32" s="216">
        <v>3</v>
      </c>
      <c r="F32" s="217"/>
      <c r="G32" s="96" t="s">
        <v>143</v>
      </c>
      <c r="H32" s="97" t="s">
        <v>141</v>
      </c>
      <c r="I32" s="94" t="s">
        <v>143</v>
      </c>
      <c r="J32" s="97" t="s">
        <v>141</v>
      </c>
      <c r="K32" s="94" t="s">
        <v>143</v>
      </c>
      <c r="L32" s="97" t="s">
        <v>141</v>
      </c>
      <c r="M32" s="94" t="s">
        <v>143</v>
      </c>
      <c r="N32" s="97" t="s">
        <v>141</v>
      </c>
      <c r="O32" s="94" t="s">
        <v>143</v>
      </c>
      <c r="P32" s="97" t="s">
        <v>141</v>
      </c>
      <c r="Q32" s="94" t="s">
        <v>143</v>
      </c>
      <c r="R32" s="97" t="s">
        <v>141</v>
      </c>
      <c r="S32" s="94" t="s">
        <v>143</v>
      </c>
      <c r="T32" s="97" t="s">
        <v>141</v>
      </c>
      <c r="U32" s="94" t="s">
        <v>143</v>
      </c>
      <c r="V32" s="97" t="s">
        <v>141</v>
      </c>
      <c r="W32" s="252"/>
      <c r="X32" s="252"/>
      <c r="Y32" s="252"/>
      <c r="Z32" s="252"/>
      <c r="AA32" s="252"/>
      <c r="AB32" s="252"/>
      <c r="AC32" s="284"/>
      <c r="AD32" s="284"/>
      <c r="AE32" s="284"/>
      <c r="AF32" s="285"/>
      <c r="AG32" s="106" t="s">
        <v>140</v>
      </c>
      <c r="AH32" s="106" t="s">
        <v>141</v>
      </c>
      <c r="AI32" s="106" t="s">
        <v>140</v>
      </c>
      <c r="AJ32" s="106" t="s">
        <v>141</v>
      </c>
      <c r="AK32" s="106"/>
      <c r="AL32" s="106"/>
      <c r="AM32" s="106"/>
      <c r="AN32" s="106"/>
      <c r="AO32" s="106"/>
      <c r="AP32" s="106"/>
      <c r="AQ32" s="106"/>
      <c r="AR32" s="107" t="s">
        <v>140</v>
      </c>
      <c r="AS32" s="107"/>
      <c r="AT32" s="107" t="s">
        <v>141</v>
      </c>
      <c r="AU32" s="226"/>
      <c r="AV32" s="226"/>
      <c r="AW32" s="227"/>
      <c r="AX32" s="216"/>
      <c r="AY32" s="257"/>
      <c r="AZ32" s="265">
        <v>0</v>
      </c>
      <c r="BA32" s="266"/>
      <c r="BB32" s="108" t="s">
        <v>185</v>
      </c>
      <c r="BC32" s="108" t="s">
        <v>188</v>
      </c>
      <c r="BD32" s="109">
        <v>0</v>
      </c>
      <c r="BE32" s="109">
        <v>0</v>
      </c>
      <c r="BF32" s="108" t="s">
        <v>192</v>
      </c>
      <c r="BG32" s="108" t="s">
        <v>188</v>
      </c>
      <c r="BH32" s="110">
        <v>1</v>
      </c>
      <c r="BI32" s="111">
        <v>0</v>
      </c>
    </row>
    <row r="33" spans="3:61" s="82" customFormat="1" ht="14.25" customHeight="1">
      <c r="C33" s="238"/>
      <c r="D33" s="239"/>
      <c r="E33" s="216">
        <v>4</v>
      </c>
      <c r="F33" s="217"/>
      <c r="G33" s="93" t="s">
        <v>142</v>
      </c>
      <c r="H33" s="94" t="s">
        <v>143</v>
      </c>
      <c r="I33" s="95" t="s">
        <v>142</v>
      </c>
      <c r="J33" s="94" t="s">
        <v>143</v>
      </c>
      <c r="K33" s="95" t="s">
        <v>142</v>
      </c>
      <c r="L33" s="94" t="s">
        <v>143</v>
      </c>
      <c r="M33" s="95" t="s">
        <v>142</v>
      </c>
      <c r="N33" s="94" t="s">
        <v>143</v>
      </c>
      <c r="O33" s="95" t="s">
        <v>142</v>
      </c>
      <c r="P33" s="94" t="s">
        <v>143</v>
      </c>
      <c r="Q33" s="95" t="s">
        <v>142</v>
      </c>
      <c r="R33" s="94" t="s">
        <v>143</v>
      </c>
      <c r="S33" s="95" t="s">
        <v>142</v>
      </c>
      <c r="T33" s="94" t="s">
        <v>143</v>
      </c>
      <c r="U33" s="95" t="s">
        <v>142</v>
      </c>
      <c r="V33" s="94" t="s">
        <v>143</v>
      </c>
      <c r="W33" s="252"/>
      <c r="X33" s="252"/>
      <c r="Y33" s="252"/>
      <c r="Z33" s="252"/>
      <c r="AA33" s="252"/>
      <c r="AB33" s="252"/>
      <c r="AC33" s="284"/>
      <c r="AD33" s="284"/>
      <c r="AE33" s="284"/>
      <c r="AF33" s="285"/>
      <c r="AG33" s="218"/>
      <c r="AH33" s="219"/>
      <c r="AI33" s="219"/>
      <c r="AJ33" s="219"/>
      <c r="AK33" s="219"/>
      <c r="AL33" s="219"/>
      <c r="AM33" s="219"/>
      <c r="AN33" s="219"/>
      <c r="AO33" s="219"/>
      <c r="AP33" s="219"/>
      <c r="AQ33" s="219"/>
      <c r="AR33" s="219"/>
      <c r="AS33" s="219"/>
      <c r="AT33" s="219"/>
      <c r="AU33" s="219"/>
      <c r="AV33" s="219"/>
      <c r="AW33" s="220"/>
      <c r="AX33" s="267"/>
      <c r="AY33" s="300"/>
      <c r="AZ33" s="265">
        <v>1</v>
      </c>
      <c r="BA33" s="266"/>
      <c r="BB33" s="108" t="s">
        <v>186</v>
      </c>
      <c r="BC33" s="108" t="s">
        <v>188</v>
      </c>
      <c r="BD33" s="109">
        <v>2</v>
      </c>
      <c r="BE33" s="109">
        <v>0</v>
      </c>
      <c r="BF33" s="108" t="s">
        <v>193</v>
      </c>
      <c r="BG33" s="108" t="s">
        <v>188</v>
      </c>
      <c r="BH33" s="110">
        <v>3</v>
      </c>
      <c r="BI33" s="111">
        <v>0</v>
      </c>
    </row>
    <row r="34" spans="3:61" s="82" customFormat="1" ht="14.25" customHeight="1">
      <c r="C34" s="238"/>
      <c r="D34" s="239"/>
      <c r="E34" s="216">
        <v>5</v>
      </c>
      <c r="F34" s="217"/>
      <c r="G34" s="96" t="s">
        <v>143</v>
      </c>
      <c r="H34" s="97" t="s">
        <v>141</v>
      </c>
      <c r="I34" s="94" t="s">
        <v>143</v>
      </c>
      <c r="J34" s="97" t="s">
        <v>141</v>
      </c>
      <c r="K34" s="94" t="s">
        <v>143</v>
      </c>
      <c r="L34" s="97" t="s">
        <v>141</v>
      </c>
      <c r="M34" s="94" t="s">
        <v>143</v>
      </c>
      <c r="N34" s="97" t="s">
        <v>141</v>
      </c>
      <c r="O34" s="94" t="s">
        <v>143</v>
      </c>
      <c r="P34" s="97" t="s">
        <v>141</v>
      </c>
      <c r="Q34" s="94" t="s">
        <v>143</v>
      </c>
      <c r="R34" s="97" t="s">
        <v>141</v>
      </c>
      <c r="S34" s="94" t="s">
        <v>143</v>
      </c>
      <c r="T34" s="97" t="s">
        <v>141</v>
      </c>
      <c r="U34" s="94" t="s">
        <v>143</v>
      </c>
      <c r="V34" s="97" t="s">
        <v>141</v>
      </c>
      <c r="W34" s="252"/>
      <c r="X34" s="252"/>
      <c r="Y34" s="252"/>
      <c r="Z34" s="252"/>
      <c r="AA34" s="252"/>
      <c r="AB34" s="252"/>
      <c r="AC34" s="284"/>
      <c r="AD34" s="284"/>
      <c r="AE34" s="284"/>
      <c r="AF34" s="285"/>
      <c r="AG34" s="221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3"/>
      <c r="AX34" s="267"/>
      <c r="AY34" s="300"/>
      <c r="AZ34" s="265">
        <v>2</v>
      </c>
      <c r="BA34" s="266"/>
      <c r="BB34" s="108" t="s">
        <v>196</v>
      </c>
      <c r="BC34" s="108" t="s">
        <v>189</v>
      </c>
      <c r="BD34" s="109">
        <v>0</v>
      </c>
      <c r="BE34" s="109">
        <v>1</v>
      </c>
      <c r="BF34" s="108" t="s">
        <v>194</v>
      </c>
      <c r="BG34" s="108" t="s">
        <v>189</v>
      </c>
      <c r="BH34" s="110">
        <v>1</v>
      </c>
      <c r="BI34" s="111">
        <v>1</v>
      </c>
    </row>
    <row r="35" spans="3:61" s="82" customFormat="1" ht="14.25" customHeight="1">
      <c r="C35" s="238"/>
      <c r="D35" s="239"/>
      <c r="E35" s="216">
        <v>6</v>
      </c>
      <c r="F35" s="217"/>
      <c r="G35" s="93" t="s">
        <v>142</v>
      </c>
      <c r="H35" s="98" t="s">
        <v>158</v>
      </c>
      <c r="I35" s="98" t="s">
        <v>159</v>
      </c>
      <c r="J35" s="94" t="s">
        <v>143</v>
      </c>
      <c r="K35" s="95" t="s">
        <v>142</v>
      </c>
      <c r="L35" s="94" t="s">
        <v>143</v>
      </c>
      <c r="M35" s="95" t="s">
        <v>142</v>
      </c>
      <c r="N35" s="94" t="s">
        <v>143</v>
      </c>
      <c r="O35" s="95" t="s">
        <v>142</v>
      </c>
      <c r="P35" s="98" t="s">
        <v>160</v>
      </c>
      <c r="Q35" s="98" t="s">
        <v>161</v>
      </c>
      <c r="R35" s="94" t="s">
        <v>143</v>
      </c>
      <c r="S35" s="95" t="s">
        <v>142</v>
      </c>
      <c r="T35" s="94" t="s">
        <v>143</v>
      </c>
      <c r="U35" s="95" t="s">
        <v>142</v>
      </c>
      <c r="V35" s="94" t="s">
        <v>143</v>
      </c>
      <c r="W35" s="252"/>
      <c r="X35" s="252"/>
      <c r="Y35" s="252"/>
      <c r="Z35" s="252"/>
      <c r="AA35" s="252"/>
      <c r="AB35" s="252"/>
      <c r="AC35" s="284"/>
      <c r="AD35" s="284"/>
      <c r="AE35" s="284"/>
      <c r="AF35" s="285"/>
      <c r="AG35" s="99" t="s">
        <v>162</v>
      </c>
      <c r="AH35" s="99" t="s">
        <v>163</v>
      </c>
      <c r="AI35" s="99" t="s">
        <v>164</v>
      </c>
      <c r="AJ35" s="99" t="s">
        <v>165</v>
      </c>
      <c r="AK35" s="99"/>
      <c r="AL35" s="99"/>
      <c r="AM35" s="99"/>
      <c r="AN35" s="99"/>
      <c r="AO35" s="99"/>
      <c r="AP35" s="99"/>
      <c r="AQ35" s="99"/>
      <c r="AR35" s="100" t="s">
        <v>140</v>
      </c>
      <c r="AS35" s="100"/>
      <c r="AT35" s="101" t="s">
        <v>141</v>
      </c>
      <c r="AU35" s="224" t="s">
        <v>145</v>
      </c>
      <c r="AV35" s="224"/>
      <c r="AW35" s="225"/>
      <c r="AX35" s="216">
        <v>1</v>
      </c>
      <c r="AY35" s="257"/>
      <c r="AZ35" s="265">
        <v>3</v>
      </c>
      <c r="BA35" s="266"/>
      <c r="BB35" s="108" t="s">
        <v>187</v>
      </c>
      <c r="BC35" s="108" t="s">
        <v>189</v>
      </c>
      <c r="BD35" s="109">
        <v>2</v>
      </c>
      <c r="BE35" s="109">
        <v>1</v>
      </c>
      <c r="BF35" s="108" t="s">
        <v>195</v>
      </c>
      <c r="BG35" s="108" t="s">
        <v>189</v>
      </c>
      <c r="BH35" s="110">
        <v>3</v>
      </c>
      <c r="BI35" s="111">
        <v>1</v>
      </c>
    </row>
    <row r="36" spans="3:61" s="82" customFormat="1" ht="14.25" customHeight="1">
      <c r="C36" s="238"/>
      <c r="D36" s="239"/>
      <c r="E36" s="216">
        <v>7</v>
      </c>
      <c r="F36" s="217"/>
      <c r="G36" s="96" t="s">
        <v>143</v>
      </c>
      <c r="H36" s="97" t="s">
        <v>141</v>
      </c>
      <c r="I36" s="94" t="s">
        <v>143</v>
      </c>
      <c r="J36" s="97" t="s">
        <v>141</v>
      </c>
      <c r="K36" s="94" t="s">
        <v>143</v>
      </c>
      <c r="L36" s="97" t="s">
        <v>141</v>
      </c>
      <c r="M36" s="94" t="s">
        <v>143</v>
      </c>
      <c r="N36" s="97" t="s">
        <v>141</v>
      </c>
      <c r="O36" s="94" t="s">
        <v>143</v>
      </c>
      <c r="P36" s="97" t="s">
        <v>141</v>
      </c>
      <c r="Q36" s="94" t="s">
        <v>143</v>
      </c>
      <c r="R36" s="97" t="s">
        <v>141</v>
      </c>
      <c r="S36" s="94" t="s">
        <v>143</v>
      </c>
      <c r="T36" s="97" t="s">
        <v>141</v>
      </c>
      <c r="U36" s="94" t="s">
        <v>143</v>
      </c>
      <c r="V36" s="97" t="s">
        <v>141</v>
      </c>
      <c r="W36" s="252"/>
      <c r="X36" s="252"/>
      <c r="Y36" s="252"/>
      <c r="Z36" s="252"/>
      <c r="AA36" s="252"/>
      <c r="AB36" s="252"/>
      <c r="AC36" s="284"/>
      <c r="AD36" s="284"/>
      <c r="AE36" s="284"/>
      <c r="AF36" s="285"/>
      <c r="AG36" s="112" t="s">
        <v>140</v>
      </c>
      <c r="AH36" s="112" t="s">
        <v>141</v>
      </c>
      <c r="AI36" s="112" t="s">
        <v>140</v>
      </c>
      <c r="AJ36" s="112" t="s">
        <v>141</v>
      </c>
      <c r="AK36" s="112"/>
      <c r="AL36" s="112"/>
      <c r="AM36" s="112"/>
      <c r="AN36" s="112"/>
      <c r="AO36" s="112"/>
      <c r="AP36" s="112"/>
      <c r="AQ36" s="106"/>
      <c r="AR36" s="107" t="s">
        <v>140</v>
      </c>
      <c r="AS36" s="107"/>
      <c r="AT36" s="107" t="s">
        <v>141</v>
      </c>
      <c r="AU36" s="226"/>
      <c r="AV36" s="226"/>
      <c r="AW36" s="227"/>
      <c r="AX36" s="216"/>
      <c r="AY36" s="257"/>
      <c r="AZ36" s="265">
        <v>4</v>
      </c>
      <c r="BA36" s="266"/>
      <c r="BB36" s="108" t="s">
        <v>185</v>
      </c>
      <c r="BC36" s="108" t="s">
        <v>190</v>
      </c>
      <c r="BD36" s="109">
        <v>0</v>
      </c>
      <c r="BE36" s="109">
        <v>2</v>
      </c>
      <c r="BF36" s="108" t="s">
        <v>192</v>
      </c>
      <c r="BG36" s="108" t="s">
        <v>190</v>
      </c>
      <c r="BH36" s="110">
        <v>1</v>
      </c>
      <c r="BI36" s="111">
        <v>2</v>
      </c>
    </row>
    <row r="37" spans="3:61" s="82" customFormat="1" ht="14.25" customHeight="1">
      <c r="C37" s="238"/>
      <c r="D37" s="239"/>
      <c r="E37" s="216">
        <v>8</v>
      </c>
      <c r="F37" s="217"/>
      <c r="G37" s="93" t="s">
        <v>142</v>
      </c>
      <c r="H37" s="94" t="s">
        <v>143</v>
      </c>
      <c r="I37" s="93" t="s">
        <v>142</v>
      </c>
      <c r="J37" s="94" t="s">
        <v>143</v>
      </c>
      <c r="K37" s="95" t="s">
        <v>142</v>
      </c>
      <c r="L37" s="94" t="s">
        <v>143</v>
      </c>
      <c r="M37" s="95" t="s">
        <v>142</v>
      </c>
      <c r="N37" s="94" t="s">
        <v>143</v>
      </c>
      <c r="O37" s="95" t="s">
        <v>142</v>
      </c>
      <c r="P37" s="94" t="s">
        <v>143</v>
      </c>
      <c r="Q37" s="95" t="s">
        <v>142</v>
      </c>
      <c r="R37" s="94" t="s">
        <v>143</v>
      </c>
      <c r="S37" s="95" t="s">
        <v>142</v>
      </c>
      <c r="T37" s="94" t="s">
        <v>143</v>
      </c>
      <c r="U37" s="95" t="s">
        <v>142</v>
      </c>
      <c r="V37" s="94" t="s">
        <v>143</v>
      </c>
      <c r="W37" s="252"/>
      <c r="X37" s="252"/>
      <c r="Y37" s="252"/>
      <c r="Z37" s="252"/>
      <c r="AA37" s="252"/>
      <c r="AB37" s="252"/>
      <c r="AC37" s="284"/>
      <c r="AD37" s="284"/>
      <c r="AE37" s="284"/>
      <c r="AF37" s="285"/>
      <c r="AG37" s="218"/>
      <c r="AH37" s="219"/>
      <c r="AI37" s="21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219"/>
      <c r="AU37" s="219"/>
      <c r="AV37" s="219"/>
      <c r="AW37" s="220"/>
      <c r="AX37" s="267"/>
      <c r="AY37" s="300"/>
      <c r="AZ37" s="265">
        <v>5</v>
      </c>
      <c r="BA37" s="266"/>
      <c r="BB37" s="108" t="s">
        <v>186</v>
      </c>
      <c r="BC37" s="108" t="s">
        <v>190</v>
      </c>
      <c r="BD37" s="109">
        <v>2</v>
      </c>
      <c r="BE37" s="109">
        <v>2</v>
      </c>
      <c r="BF37" s="108" t="s">
        <v>193</v>
      </c>
      <c r="BG37" s="108" t="s">
        <v>190</v>
      </c>
      <c r="BH37" s="110">
        <v>3</v>
      </c>
      <c r="BI37" s="111">
        <v>2</v>
      </c>
    </row>
    <row r="38" spans="3:61" s="82" customFormat="1" ht="14.25" customHeight="1">
      <c r="C38" s="238"/>
      <c r="D38" s="239"/>
      <c r="E38" s="216">
        <v>9</v>
      </c>
      <c r="F38" s="217"/>
      <c r="G38" s="96" t="s">
        <v>143</v>
      </c>
      <c r="H38" s="97" t="s">
        <v>141</v>
      </c>
      <c r="I38" s="96" t="s">
        <v>143</v>
      </c>
      <c r="J38" s="97" t="s">
        <v>141</v>
      </c>
      <c r="K38" s="94" t="s">
        <v>143</v>
      </c>
      <c r="L38" s="97" t="s">
        <v>141</v>
      </c>
      <c r="M38" s="94" t="s">
        <v>143</v>
      </c>
      <c r="N38" s="97" t="s">
        <v>141</v>
      </c>
      <c r="O38" s="94" t="s">
        <v>143</v>
      </c>
      <c r="P38" s="97" t="s">
        <v>141</v>
      </c>
      <c r="Q38" s="94" t="s">
        <v>143</v>
      </c>
      <c r="R38" s="97" t="s">
        <v>141</v>
      </c>
      <c r="S38" s="94" t="s">
        <v>143</v>
      </c>
      <c r="T38" s="97" t="s">
        <v>141</v>
      </c>
      <c r="U38" s="94" t="s">
        <v>143</v>
      </c>
      <c r="V38" s="97" t="s">
        <v>141</v>
      </c>
      <c r="W38" s="252"/>
      <c r="X38" s="252"/>
      <c r="Y38" s="252"/>
      <c r="Z38" s="252"/>
      <c r="AA38" s="252"/>
      <c r="AB38" s="252"/>
      <c r="AC38" s="284"/>
      <c r="AD38" s="284"/>
      <c r="AE38" s="284"/>
      <c r="AF38" s="285"/>
      <c r="AG38" s="221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3"/>
      <c r="AX38" s="267"/>
      <c r="AY38" s="300"/>
      <c r="AZ38" s="265">
        <v>6</v>
      </c>
      <c r="BA38" s="266"/>
      <c r="BB38" s="108" t="s">
        <v>196</v>
      </c>
      <c r="BC38" s="108" t="s">
        <v>191</v>
      </c>
      <c r="BD38" s="109">
        <v>0</v>
      </c>
      <c r="BE38" s="109">
        <v>3</v>
      </c>
      <c r="BF38" s="108" t="s">
        <v>194</v>
      </c>
      <c r="BG38" s="108" t="s">
        <v>191</v>
      </c>
      <c r="BH38" s="110">
        <v>1</v>
      </c>
      <c r="BI38" s="111">
        <v>3</v>
      </c>
    </row>
    <row r="39" spans="3:61" s="82" customFormat="1" ht="14.25" customHeight="1">
      <c r="C39" s="238"/>
      <c r="D39" s="239"/>
      <c r="E39" s="216">
        <v>10</v>
      </c>
      <c r="F39" s="217"/>
      <c r="G39" s="93" t="s">
        <v>142</v>
      </c>
      <c r="H39" s="94" t="s">
        <v>143</v>
      </c>
      <c r="I39" s="95" t="s">
        <v>142</v>
      </c>
      <c r="J39" s="94" t="s">
        <v>143</v>
      </c>
      <c r="K39" s="95" t="s">
        <v>142</v>
      </c>
      <c r="L39" s="98" t="s">
        <v>166</v>
      </c>
      <c r="M39" s="98" t="s">
        <v>167</v>
      </c>
      <c r="N39" s="94" t="s">
        <v>143</v>
      </c>
      <c r="O39" s="95" t="s">
        <v>142</v>
      </c>
      <c r="P39" s="94" t="s">
        <v>143</v>
      </c>
      <c r="Q39" s="95" t="s">
        <v>142</v>
      </c>
      <c r="R39" s="94" t="s">
        <v>143</v>
      </c>
      <c r="S39" s="95" t="s">
        <v>142</v>
      </c>
      <c r="T39" s="98" t="s">
        <v>168</v>
      </c>
      <c r="U39" s="98" t="s">
        <v>169</v>
      </c>
      <c r="V39" s="94" t="s">
        <v>143</v>
      </c>
      <c r="W39" s="252"/>
      <c r="X39" s="252"/>
      <c r="Y39" s="252"/>
      <c r="Z39" s="252"/>
      <c r="AA39" s="252"/>
      <c r="AB39" s="252"/>
      <c r="AC39" s="284"/>
      <c r="AD39" s="284"/>
      <c r="AE39" s="284"/>
      <c r="AF39" s="285"/>
      <c r="AG39" s="99" t="s">
        <v>170</v>
      </c>
      <c r="AH39" s="99" t="s">
        <v>171</v>
      </c>
      <c r="AI39" s="99" t="s">
        <v>172</v>
      </c>
      <c r="AJ39" s="99" t="s">
        <v>173</v>
      </c>
      <c r="AK39" s="99"/>
      <c r="AL39" s="99"/>
      <c r="AM39" s="99"/>
      <c r="AN39" s="99"/>
      <c r="AO39" s="99"/>
      <c r="AP39" s="99"/>
      <c r="AQ39" s="99"/>
      <c r="AR39" s="100" t="s">
        <v>140</v>
      </c>
      <c r="AS39" s="100"/>
      <c r="AT39" s="101" t="s">
        <v>141</v>
      </c>
      <c r="AU39" s="224" t="s">
        <v>145</v>
      </c>
      <c r="AV39" s="224"/>
      <c r="AW39" s="225"/>
      <c r="AX39" s="216">
        <v>2</v>
      </c>
      <c r="AY39" s="257"/>
      <c r="AZ39" s="265">
        <v>7</v>
      </c>
      <c r="BA39" s="266"/>
      <c r="BB39" s="108" t="s">
        <v>187</v>
      </c>
      <c r="BC39" s="108" t="s">
        <v>191</v>
      </c>
      <c r="BD39" s="109">
        <v>2</v>
      </c>
      <c r="BE39" s="109">
        <v>3</v>
      </c>
      <c r="BF39" s="108" t="s">
        <v>195</v>
      </c>
      <c r="BG39" s="108" t="s">
        <v>191</v>
      </c>
      <c r="BH39" s="110">
        <v>3</v>
      </c>
      <c r="BI39" s="111">
        <v>3</v>
      </c>
    </row>
    <row r="40" spans="3:61" s="82" customFormat="1" ht="14.25" customHeight="1">
      <c r="C40" s="238"/>
      <c r="D40" s="239"/>
      <c r="E40" s="216">
        <v>11</v>
      </c>
      <c r="F40" s="217"/>
      <c r="G40" s="96" t="s">
        <v>143</v>
      </c>
      <c r="H40" s="97" t="s">
        <v>141</v>
      </c>
      <c r="I40" s="94" t="s">
        <v>143</v>
      </c>
      <c r="J40" s="97" t="s">
        <v>141</v>
      </c>
      <c r="K40" s="94" t="s">
        <v>143</v>
      </c>
      <c r="L40" s="97" t="s">
        <v>141</v>
      </c>
      <c r="M40" s="94" t="s">
        <v>143</v>
      </c>
      <c r="N40" s="97" t="s">
        <v>141</v>
      </c>
      <c r="O40" s="94" t="s">
        <v>143</v>
      </c>
      <c r="P40" s="97" t="s">
        <v>141</v>
      </c>
      <c r="Q40" s="94" t="s">
        <v>143</v>
      </c>
      <c r="R40" s="97" t="s">
        <v>141</v>
      </c>
      <c r="S40" s="94" t="s">
        <v>143</v>
      </c>
      <c r="T40" s="97" t="s">
        <v>141</v>
      </c>
      <c r="U40" s="94" t="s">
        <v>143</v>
      </c>
      <c r="V40" s="97" t="s">
        <v>141</v>
      </c>
      <c r="W40" s="252"/>
      <c r="X40" s="252"/>
      <c r="Y40" s="252"/>
      <c r="Z40" s="252"/>
      <c r="AA40" s="252"/>
      <c r="AB40" s="252"/>
      <c r="AC40" s="284"/>
      <c r="AD40" s="284"/>
      <c r="AE40" s="284"/>
      <c r="AF40" s="285"/>
      <c r="AG40" s="106" t="s">
        <v>140</v>
      </c>
      <c r="AH40" s="106" t="s">
        <v>141</v>
      </c>
      <c r="AI40" s="106" t="s">
        <v>140</v>
      </c>
      <c r="AJ40" s="106" t="s">
        <v>141</v>
      </c>
      <c r="AK40" s="106"/>
      <c r="AL40" s="106"/>
      <c r="AM40" s="106"/>
      <c r="AN40" s="106"/>
      <c r="AO40" s="106"/>
      <c r="AP40" s="106"/>
      <c r="AQ40" s="106"/>
      <c r="AR40" s="107" t="s">
        <v>140</v>
      </c>
      <c r="AS40" s="107"/>
      <c r="AT40" s="107" t="s">
        <v>141</v>
      </c>
      <c r="AU40" s="226"/>
      <c r="AV40" s="226"/>
      <c r="AW40" s="227"/>
      <c r="AX40" s="216"/>
      <c r="AY40" s="257"/>
      <c r="AZ40" s="216"/>
      <c r="BA40" s="257"/>
      <c r="BB40" s="257"/>
      <c r="BC40" s="257"/>
      <c r="BD40" s="257"/>
      <c r="BE40" s="257"/>
      <c r="BF40" s="257"/>
      <c r="BG40" s="257"/>
      <c r="BH40" s="257"/>
      <c r="BI40" s="217"/>
    </row>
    <row r="41" spans="3:61" s="82" customFormat="1" ht="14.25" customHeight="1">
      <c r="C41" s="238"/>
      <c r="D41" s="239"/>
      <c r="E41" s="216">
        <v>12</v>
      </c>
      <c r="F41" s="217"/>
      <c r="G41" s="93" t="s">
        <v>142</v>
      </c>
      <c r="H41" s="94" t="s">
        <v>143</v>
      </c>
      <c r="I41" s="95" t="s">
        <v>142</v>
      </c>
      <c r="J41" s="94" t="s">
        <v>143</v>
      </c>
      <c r="K41" s="95" t="s">
        <v>142</v>
      </c>
      <c r="L41" s="94" t="s">
        <v>143</v>
      </c>
      <c r="M41" s="95" t="s">
        <v>142</v>
      </c>
      <c r="N41" s="94" t="s">
        <v>143</v>
      </c>
      <c r="O41" s="95" t="s">
        <v>142</v>
      </c>
      <c r="P41" s="94" t="s">
        <v>143</v>
      </c>
      <c r="Q41" s="95" t="s">
        <v>142</v>
      </c>
      <c r="R41" s="94" t="s">
        <v>143</v>
      </c>
      <c r="S41" s="95" t="s">
        <v>142</v>
      </c>
      <c r="T41" s="94" t="s">
        <v>143</v>
      </c>
      <c r="U41" s="95" t="s">
        <v>142</v>
      </c>
      <c r="V41" s="94" t="s">
        <v>143</v>
      </c>
      <c r="W41" s="252"/>
      <c r="X41" s="252"/>
      <c r="Y41" s="252"/>
      <c r="Z41" s="252"/>
      <c r="AA41" s="252"/>
      <c r="AB41" s="252"/>
      <c r="AC41" s="284"/>
      <c r="AD41" s="284"/>
      <c r="AE41" s="284"/>
      <c r="AF41" s="285"/>
      <c r="AG41" s="218"/>
      <c r="AH41" s="219"/>
      <c r="AI41" s="21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219"/>
      <c r="AU41" s="219"/>
      <c r="AV41" s="219"/>
      <c r="AW41" s="220"/>
      <c r="AX41" s="267"/>
      <c r="AY41" s="300"/>
      <c r="AZ41" s="216"/>
      <c r="BA41" s="257"/>
      <c r="BB41" s="257"/>
      <c r="BC41" s="257"/>
      <c r="BD41" s="257"/>
      <c r="BE41" s="257"/>
      <c r="BF41" s="257"/>
      <c r="BG41" s="257"/>
      <c r="BH41" s="257"/>
      <c r="BI41" s="217"/>
    </row>
    <row r="42" spans="3:61" s="82" customFormat="1" ht="14.25" customHeight="1">
      <c r="C42" s="238"/>
      <c r="D42" s="239"/>
      <c r="E42" s="216">
        <v>13</v>
      </c>
      <c r="F42" s="217"/>
      <c r="G42" s="96" t="s">
        <v>143</v>
      </c>
      <c r="H42" s="97" t="s">
        <v>141</v>
      </c>
      <c r="I42" s="94" t="s">
        <v>143</v>
      </c>
      <c r="J42" s="97" t="s">
        <v>141</v>
      </c>
      <c r="K42" s="94" t="s">
        <v>143</v>
      </c>
      <c r="L42" s="97" t="s">
        <v>141</v>
      </c>
      <c r="M42" s="94" t="s">
        <v>143</v>
      </c>
      <c r="N42" s="97" t="s">
        <v>141</v>
      </c>
      <c r="O42" s="94" t="s">
        <v>143</v>
      </c>
      <c r="P42" s="97" t="s">
        <v>141</v>
      </c>
      <c r="Q42" s="94" t="s">
        <v>143</v>
      </c>
      <c r="R42" s="97" t="s">
        <v>141</v>
      </c>
      <c r="S42" s="94" t="s">
        <v>143</v>
      </c>
      <c r="T42" s="97" t="s">
        <v>141</v>
      </c>
      <c r="U42" s="94" t="s">
        <v>143</v>
      </c>
      <c r="V42" s="97" t="s">
        <v>141</v>
      </c>
      <c r="W42" s="252"/>
      <c r="X42" s="252"/>
      <c r="Y42" s="252"/>
      <c r="Z42" s="252"/>
      <c r="AA42" s="252"/>
      <c r="AB42" s="252"/>
      <c r="AC42" s="284"/>
      <c r="AD42" s="284"/>
      <c r="AE42" s="284"/>
      <c r="AF42" s="285"/>
      <c r="AG42" s="221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3"/>
      <c r="AX42" s="267"/>
      <c r="AY42" s="300"/>
      <c r="AZ42" s="216"/>
      <c r="BA42" s="257"/>
      <c r="BB42" s="257"/>
      <c r="BC42" s="257"/>
      <c r="BD42" s="257"/>
      <c r="BE42" s="257"/>
      <c r="BF42" s="257"/>
      <c r="BG42" s="257"/>
      <c r="BH42" s="257"/>
      <c r="BI42" s="217"/>
    </row>
    <row r="43" spans="3:61" s="82" customFormat="1" ht="14.25" customHeight="1">
      <c r="C43" s="238"/>
      <c r="D43" s="239"/>
      <c r="E43" s="216">
        <v>14</v>
      </c>
      <c r="F43" s="217"/>
      <c r="G43" s="93" t="s">
        <v>142</v>
      </c>
      <c r="H43" s="98" t="s">
        <v>174</v>
      </c>
      <c r="I43" s="98" t="s">
        <v>175</v>
      </c>
      <c r="J43" s="94" t="s">
        <v>143</v>
      </c>
      <c r="K43" s="95" t="s">
        <v>142</v>
      </c>
      <c r="L43" s="94" t="s">
        <v>143</v>
      </c>
      <c r="M43" s="95" t="s">
        <v>142</v>
      </c>
      <c r="N43" s="94" t="s">
        <v>143</v>
      </c>
      <c r="O43" s="95" t="s">
        <v>142</v>
      </c>
      <c r="P43" s="98" t="s">
        <v>176</v>
      </c>
      <c r="Q43" s="98" t="s">
        <v>177</v>
      </c>
      <c r="R43" s="94" t="s">
        <v>143</v>
      </c>
      <c r="S43" s="95" t="s">
        <v>142</v>
      </c>
      <c r="T43" s="94" t="s">
        <v>143</v>
      </c>
      <c r="U43" s="95" t="s">
        <v>142</v>
      </c>
      <c r="V43" s="94" t="s">
        <v>143</v>
      </c>
      <c r="W43" s="252"/>
      <c r="X43" s="252"/>
      <c r="Y43" s="252"/>
      <c r="Z43" s="252"/>
      <c r="AA43" s="252"/>
      <c r="AB43" s="252"/>
      <c r="AC43" s="284"/>
      <c r="AD43" s="284"/>
      <c r="AE43" s="284"/>
      <c r="AF43" s="285"/>
      <c r="AG43" s="99" t="s">
        <v>178</v>
      </c>
      <c r="AH43" s="99" t="s">
        <v>179</v>
      </c>
      <c r="AI43" s="99" t="s">
        <v>180</v>
      </c>
      <c r="AJ43" s="99" t="s">
        <v>181</v>
      </c>
      <c r="AK43" s="99"/>
      <c r="AL43" s="99"/>
      <c r="AM43" s="99"/>
      <c r="AN43" s="99"/>
      <c r="AO43" s="99"/>
      <c r="AP43" s="99"/>
      <c r="AQ43" s="99"/>
      <c r="AR43" s="100" t="s">
        <v>140</v>
      </c>
      <c r="AS43" s="100"/>
      <c r="AT43" s="101" t="s">
        <v>141</v>
      </c>
      <c r="AU43" s="224" t="s">
        <v>145</v>
      </c>
      <c r="AV43" s="224"/>
      <c r="AW43" s="225"/>
      <c r="AX43" s="216">
        <v>3</v>
      </c>
      <c r="AY43" s="257"/>
      <c r="AZ43" s="216"/>
      <c r="BA43" s="257"/>
      <c r="BB43" s="257"/>
      <c r="BC43" s="257"/>
      <c r="BD43" s="257"/>
      <c r="BE43" s="257"/>
      <c r="BF43" s="257"/>
      <c r="BG43" s="257"/>
      <c r="BH43" s="257"/>
      <c r="BI43" s="217"/>
    </row>
    <row r="44" spans="3:61" s="82" customFormat="1" ht="14.25" customHeight="1">
      <c r="C44" s="238"/>
      <c r="D44" s="239"/>
      <c r="E44" s="216">
        <v>15</v>
      </c>
      <c r="F44" s="217"/>
      <c r="G44" s="96" t="s">
        <v>143</v>
      </c>
      <c r="H44" s="97" t="s">
        <v>141</v>
      </c>
      <c r="I44" s="94" t="s">
        <v>143</v>
      </c>
      <c r="J44" s="97" t="s">
        <v>141</v>
      </c>
      <c r="K44" s="94" t="s">
        <v>143</v>
      </c>
      <c r="L44" s="97" t="s">
        <v>141</v>
      </c>
      <c r="M44" s="94" t="s">
        <v>143</v>
      </c>
      <c r="N44" s="97" t="s">
        <v>141</v>
      </c>
      <c r="O44" s="94" t="s">
        <v>143</v>
      </c>
      <c r="P44" s="97" t="s">
        <v>141</v>
      </c>
      <c r="Q44" s="94" t="s">
        <v>143</v>
      </c>
      <c r="R44" s="97" t="s">
        <v>141</v>
      </c>
      <c r="S44" s="94" t="s">
        <v>143</v>
      </c>
      <c r="T44" s="97" t="s">
        <v>141</v>
      </c>
      <c r="U44" s="94" t="s">
        <v>143</v>
      </c>
      <c r="V44" s="97" t="s">
        <v>141</v>
      </c>
      <c r="W44" s="252"/>
      <c r="X44" s="252"/>
      <c r="Y44" s="252"/>
      <c r="Z44" s="252"/>
      <c r="AA44" s="252"/>
      <c r="AB44" s="252"/>
      <c r="AC44" s="284"/>
      <c r="AD44" s="284"/>
      <c r="AE44" s="284"/>
      <c r="AF44" s="285"/>
      <c r="AG44" s="112" t="s">
        <v>140</v>
      </c>
      <c r="AH44" s="112" t="s">
        <v>141</v>
      </c>
      <c r="AI44" s="112" t="s">
        <v>140</v>
      </c>
      <c r="AJ44" s="112" t="s">
        <v>141</v>
      </c>
      <c r="AK44" s="112"/>
      <c r="AL44" s="112"/>
      <c r="AM44" s="112"/>
      <c r="AN44" s="112"/>
      <c r="AO44" s="112"/>
      <c r="AP44" s="112"/>
      <c r="AQ44" s="106"/>
      <c r="AR44" s="107" t="s">
        <v>140</v>
      </c>
      <c r="AS44" s="107"/>
      <c r="AT44" s="107" t="s">
        <v>141</v>
      </c>
      <c r="AU44" s="226"/>
      <c r="AV44" s="226"/>
      <c r="AW44" s="227"/>
      <c r="AX44" s="216"/>
      <c r="AY44" s="257"/>
      <c r="AZ44" s="216"/>
      <c r="BA44" s="257"/>
      <c r="BB44" s="257"/>
      <c r="BC44" s="257"/>
      <c r="BD44" s="257"/>
      <c r="BE44" s="257"/>
      <c r="BF44" s="257"/>
      <c r="BG44" s="257"/>
      <c r="BH44" s="257"/>
      <c r="BI44" s="217"/>
    </row>
    <row r="45" spans="3:61" s="82" customFormat="1" ht="14.25" customHeight="1">
      <c r="C45" s="238"/>
      <c r="D45" s="239"/>
      <c r="E45" s="216" t="s">
        <v>138</v>
      </c>
      <c r="F45" s="217"/>
      <c r="G45" s="242" t="s">
        <v>144</v>
      </c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52"/>
      <c r="X45" s="252"/>
      <c r="Y45" s="252"/>
      <c r="Z45" s="252"/>
      <c r="AA45" s="252"/>
      <c r="AB45" s="252"/>
      <c r="AC45" s="284"/>
      <c r="AD45" s="284"/>
      <c r="AE45" s="284"/>
      <c r="AF45" s="285"/>
      <c r="AG45" s="248" t="s">
        <v>144</v>
      </c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50"/>
      <c r="AX45" s="216" t="s">
        <v>138</v>
      </c>
      <c r="AY45" s="257"/>
      <c r="AZ45" s="216"/>
      <c r="BA45" s="257"/>
      <c r="BB45" s="257"/>
      <c r="BC45" s="257"/>
      <c r="BD45" s="257"/>
      <c r="BE45" s="257"/>
      <c r="BF45" s="257"/>
      <c r="BG45" s="257"/>
      <c r="BH45" s="257"/>
      <c r="BI45" s="217"/>
    </row>
    <row r="46" spans="3:61" s="82" customFormat="1" ht="14.25" customHeight="1">
      <c r="C46" s="238"/>
      <c r="D46" s="239"/>
      <c r="E46" s="216"/>
      <c r="F46" s="217"/>
      <c r="G46" s="244"/>
      <c r="H46" s="245"/>
      <c r="I46" s="245"/>
      <c r="J46" s="245"/>
      <c r="K46" s="245"/>
      <c r="L46" s="245"/>
      <c r="M46" s="245"/>
      <c r="N46" s="245"/>
      <c r="O46" s="245"/>
      <c r="P46" s="245"/>
      <c r="Q46" s="245"/>
      <c r="R46" s="245"/>
      <c r="S46" s="245"/>
      <c r="T46" s="245"/>
      <c r="U46" s="245"/>
      <c r="V46" s="245"/>
      <c r="W46" s="252"/>
      <c r="X46" s="252"/>
      <c r="Y46" s="252"/>
      <c r="Z46" s="252"/>
      <c r="AA46" s="252"/>
      <c r="AB46" s="252"/>
      <c r="AC46" s="284"/>
      <c r="AD46" s="284"/>
      <c r="AE46" s="284"/>
      <c r="AF46" s="285"/>
      <c r="AG46" s="251"/>
      <c r="AH46" s="252"/>
      <c r="AI46" s="252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252"/>
      <c r="AU46" s="252"/>
      <c r="AV46" s="252"/>
      <c r="AW46" s="253"/>
      <c r="AX46" s="216"/>
      <c r="AY46" s="257"/>
      <c r="AZ46" s="216"/>
      <c r="BA46" s="257"/>
      <c r="BB46" s="257"/>
      <c r="BC46" s="257"/>
      <c r="BD46" s="257"/>
      <c r="BE46" s="257"/>
      <c r="BF46" s="257"/>
      <c r="BG46" s="257"/>
      <c r="BH46" s="257"/>
      <c r="BI46" s="217"/>
    </row>
    <row r="47" spans="3:61" s="82" customFormat="1" ht="14.25" customHeight="1">
      <c r="C47" s="238"/>
      <c r="D47" s="239"/>
      <c r="E47" s="216">
        <v>3070</v>
      </c>
      <c r="F47" s="217"/>
      <c r="G47" s="244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52"/>
      <c r="X47" s="252"/>
      <c r="Y47" s="252"/>
      <c r="Z47" s="252"/>
      <c r="AA47" s="252"/>
      <c r="AB47" s="252"/>
      <c r="AC47" s="284"/>
      <c r="AD47" s="284"/>
      <c r="AE47" s="284"/>
      <c r="AF47" s="285"/>
      <c r="AG47" s="251"/>
      <c r="AH47" s="252"/>
      <c r="AI47" s="252"/>
      <c r="AJ47" s="252"/>
      <c r="AK47" s="252"/>
      <c r="AL47" s="252"/>
      <c r="AM47" s="252"/>
      <c r="AN47" s="252"/>
      <c r="AO47" s="252"/>
      <c r="AP47" s="252"/>
      <c r="AQ47" s="252"/>
      <c r="AR47" s="252"/>
      <c r="AS47" s="252"/>
      <c r="AT47" s="252"/>
      <c r="AU47" s="252"/>
      <c r="AV47" s="252"/>
      <c r="AW47" s="253"/>
      <c r="AX47" s="216">
        <v>759</v>
      </c>
      <c r="AY47" s="257"/>
      <c r="AZ47" s="216"/>
      <c r="BA47" s="257"/>
      <c r="BB47" s="257"/>
      <c r="BC47" s="257"/>
      <c r="BD47" s="257"/>
      <c r="BE47" s="257"/>
      <c r="BF47" s="257"/>
      <c r="BG47" s="257"/>
      <c r="BH47" s="257"/>
      <c r="BI47" s="217"/>
    </row>
    <row r="48" spans="3:61" s="82" customFormat="1" ht="14.25" customHeight="1" thickBot="1">
      <c r="C48" s="240"/>
      <c r="D48" s="241"/>
      <c r="E48" s="301">
        <v>3071</v>
      </c>
      <c r="F48" s="303"/>
      <c r="G48" s="246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255"/>
      <c r="X48" s="255"/>
      <c r="Y48" s="255"/>
      <c r="Z48" s="255"/>
      <c r="AA48" s="255"/>
      <c r="AB48" s="255"/>
      <c r="AC48" s="304"/>
      <c r="AD48" s="304"/>
      <c r="AE48" s="304"/>
      <c r="AF48" s="305"/>
      <c r="AG48" s="254"/>
      <c r="AH48" s="255"/>
      <c r="AI48" s="255"/>
      <c r="AJ48" s="255"/>
      <c r="AK48" s="255"/>
      <c r="AL48" s="255"/>
      <c r="AM48" s="255"/>
      <c r="AN48" s="255"/>
      <c r="AO48" s="255"/>
      <c r="AP48" s="255"/>
      <c r="AQ48" s="255"/>
      <c r="AR48" s="255"/>
      <c r="AS48" s="255"/>
      <c r="AT48" s="255"/>
      <c r="AU48" s="255"/>
      <c r="AV48" s="255"/>
      <c r="AW48" s="256"/>
      <c r="AX48" s="301"/>
      <c r="AY48" s="302"/>
      <c r="AZ48" s="301"/>
      <c r="BA48" s="302"/>
      <c r="BB48" s="302"/>
      <c r="BC48" s="302"/>
      <c r="BD48" s="302"/>
      <c r="BE48" s="302"/>
      <c r="BF48" s="302"/>
      <c r="BG48" s="302"/>
      <c r="BH48" s="302"/>
      <c r="BI48" s="303"/>
    </row>
    <row r="49" spans="3:61" s="82" customFormat="1" ht="14.25" customHeight="1" thickBot="1">
      <c r="C49" s="235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7"/>
    </row>
    <row r="50" spans="3:61" s="82" customFormat="1" ht="14.25" customHeight="1">
      <c r="C50" s="238" t="s">
        <v>182</v>
      </c>
      <c r="D50" s="239"/>
      <c r="E50" s="216">
        <v>0</v>
      </c>
      <c r="F50" s="217"/>
      <c r="G50" s="97" t="s">
        <v>141</v>
      </c>
      <c r="H50" s="94" t="s">
        <v>143</v>
      </c>
      <c r="I50" s="97" t="s">
        <v>141</v>
      </c>
      <c r="J50" s="94" t="s">
        <v>143</v>
      </c>
      <c r="K50" s="97" t="s">
        <v>141</v>
      </c>
      <c r="L50" s="94" t="s">
        <v>143</v>
      </c>
      <c r="M50" s="97" t="s">
        <v>141</v>
      </c>
      <c r="N50" s="94" t="s">
        <v>143</v>
      </c>
      <c r="O50" s="97" t="s">
        <v>141</v>
      </c>
      <c r="P50" s="94" t="s">
        <v>143</v>
      </c>
      <c r="Q50" s="97" t="s">
        <v>141</v>
      </c>
      <c r="R50" s="94" t="s">
        <v>143</v>
      </c>
      <c r="S50" s="97" t="s">
        <v>141</v>
      </c>
      <c r="T50" s="94" t="s">
        <v>143</v>
      </c>
      <c r="U50" s="97" t="s">
        <v>141</v>
      </c>
      <c r="V50" s="94" t="s">
        <v>143</v>
      </c>
      <c r="W50" s="252" t="s">
        <v>144</v>
      </c>
      <c r="X50" s="252"/>
      <c r="Y50" s="252"/>
      <c r="Z50" s="252"/>
      <c r="AA50" s="252"/>
      <c r="AB50" s="252"/>
      <c r="AC50" s="284" t="s">
        <v>145</v>
      </c>
      <c r="AD50" s="284"/>
      <c r="AE50" s="284"/>
      <c r="AF50" s="285"/>
      <c r="AG50" s="287" t="s">
        <v>202</v>
      </c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88"/>
      <c r="AS50" s="288"/>
      <c r="AT50" s="288"/>
      <c r="AU50" s="288"/>
      <c r="AV50" s="288"/>
      <c r="AW50" s="289"/>
      <c r="AX50" s="113"/>
      <c r="AY50" s="114"/>
      <c r="AZ50" s="292" t="s">
        <v>139</v>
      </c>
      <c r="BA50" s="293"/>
      <c r="BB50" s="296" t="s">
        <v>140</v>
      </c>
      <c r="BC50" s="297"/>
      <c r="BD50" s="297"/>
      <c r="BE50" s="298"/>
      <c r="BF50" s="296" t="s">
        <v>141</v>
      </c>
      <c r="BG50" s="297"/>
      <c r="BH50" s="297"/>
      <c r="BI50" s="299"/>
    </row>
    <row r="51" spans="3:61" s="82" customFormat="1" ht="14.25" customHeight="1">
      <c r="C51" s="238"/>
      <c r="D51" s="239"/>
      <c r="E51" s="216">
        <v>1</v>
      </c>
      <c r="F51" s="217"/>
      <c r="G51" s="94" t="s">
        <v>143</v>
      </c>
      <c r="H51" s="95" t="s">
        <v>142</v>
      </c>
      <c r="I51" s="94" t="s">
        <v>143</v>
      </c>
      <c r="J51" s="95" t="s">
        <v>142</v>
      </c>
      <c r="K51" s="94" t="s">
        <v>143</v>
      </c>
      <c r="L51" s="98" t="s">
        <v>148</v>
      </c>
      <c r="M51" s="98" t="s">
        <v>149</v>
      </c>
      <c r="N51" s="95" t="s">
        <v>142</v>
      </c>
      <c r="O51" s="94" t="s">
        <v>143</v>
      </c>
      <c r="P51" s="95" t="s">
        <v>142</v>
      </c>
      <c r="Q51" s="94" t="s">
        <v>143</v>
      </c>
      <c r="R51" s="95" t="s">
        <v>142</v>
      </c>
      <c r="S51" s="94" t="s">
        <v>143</v>
      </c>
      <c r="T51" s="98" t="s">
        <v>150</v>
      </c>
      <c r="U51" s="98" t="s">
        <v>151</v>
      </c>
      <c r="V51" s="95" t="s">
        <v>142</v>
      </c>
      <c r="W51" s="252"/>
      <c r="X51" s="252"/>
      <c r="Y51" s="252"/>
      <c r="Z51" s="252"/>
      <c r="AA51" s="252"/>
      <c r="AB51" s="252"/>
      <c r="AC51" s="284"/>
      <c r="AD51" s="284"/>
      <c r="AE51" s="284"/>
      <c r="AF51" s="285"/>
      <c r="AG51" s="287"/>
      <c r="AH51" s="288"/>
      <c r="AI51" s="288"/>
      <c r="AJ51" s="288"/>
      <c r="AK51" s="288"/>
      <c r="AL51" s="288"/>
      <c r="AM51" s="288"/>
      <c r="AN51" s="288"/>
      <c r="AO51" s="288"/>
      <c r="AP51" s="288"/>
      <c r="AQ51" s="288"/>
      <c r="AR51" s="288"/>
      <c r="AS51" s="288"/>
      <c r="AT51" s="288"/>
      <c r="AU51" s="290"/>
      <c r="AV51" s="290"/>
      <c r="AW51" s="291"/>
      <c r="AX51" s="113"/>
      <c r="AY51" s="114"/>
      <c r="AZ51" s="294"/>
      <c r="BA51" s="295"/>
      <c r="BB51" s="279" t="s">
        <v>146</v>
      </c>
      <c r="BC51" s="280"/>
      <c r="BD51" s="279" t="s">
        <v>147</v>
      </c>
      <c r="BE51" s="280"/>
      <c r="BF51" s="279" t="s">
        <v>146</v>
      </c>
      <c r="BG51" s="280"/>
      <c r="BH51" s="279" t="s">
        <v>147</v>
      </c>
      <c r="BI51" s="280"/>
    </row>
    <row r="52" spans="3:61" s="82" customFormat="1" ht="14.25" customHeight="1">
      <c r="C52" s="238"/>
      <c r="D52" s="239"/>
      <c r="E52" s="216">
        <v>2</v>
      </c>
      <c r="F52" s="217"/>
      <c r="G52" s="97" t="s">
        <v>141</v>
      </c>
      <c r="H52" s="94" t="s">
        <v>143</v>
      </c>
      <c r="I52" s="97" t="s">
        <v>141</v>
      </c>
      <c r="J52" s="94" t="s">
        <v>143</v>
      </c>
      <c r="K52" s="97" t="s">
        <v>141</v>
      </c>
      <c r="L52" s="94" t="s">
        <v>143</v>
      </c>
      <c r="M52" s="97" t="s">
        <v>141</v>
      </c>
      <c r="N52" s="94" t="s">
        <v>143</v>
      </c>
      <c r="O52" s="97" t="s">
        <v>141</v>
      </c>
      <c r="P52" s="94" t="s">
        <v>143</v>
      </c>
      <c r="Q52" s="97" t="s">
        <v>141</v>
      </c>
      <c r="R52" s="94" t="s">
        <v>143</v>
      </c>
      <c r="S52" s="97" t="s">
        <v>141</v>
      </c>
      <c r="T52" s="94" t="s">
        <v>143</v>
      </c>
      <c r="U52" s="97" t="s">
        <v>141</v>
      </c>
      <c r="V52" s="94" t="s">
        <v>143</v>
      </c>
      <c r="W52" s="252"/>
      <c r="X52" s="252"/>
      <c r="Y52" s="252"/>
      <c r="Z52" s="252"/>
      <c r="AA52" s="252"/>
      <c r="AB52" s="252"/>
      <c r="AC52" s="284"/>
      <c r="AD52" s="284"/>
      <c r="AE52" s="284"/>
      <c r="AF52" s="285"/>
      <c r="AG52" s="99" t="s">
        <v>152</v>
      </c>
      <c r="AH52" s="99" t="s">
        <v>153</v>
      </c>
      <c r="AI52" s="99" t="s">
        <v>154</v>
      </c>
      <c r="AJ52" s="99" t="s">
        <v>155</v>
      </c>
      <c r="AK52" s="99"/>
      <c r="AL52" s="99"/>
      <c r="AM52" s="99"/>
      <c r="AN52" s="99"/>
      <c r="AO52" s="99"/>
      <c r="AP52" s="99"/>
      <c r="AQ52" s="99"/>
      <c r="AR52" s="100" t="s">
        <v>140</v>
      </c>
      <c r="AS52" s="99"/>
      <c r="AT52" s="101" t="s">
        <v>141</v>
      </c>
      <c r="AU52" s="224" t="s">
        <v>145</v>
      </c>
      <c r="AV52" s="224"/>
      <c r="AW52" s="225"/>
      <c r="AX52" s="216">
        <v>0</v>
      </c>
      <c r="AY52" s="217"/>
      <c r="AZ52" s="294"/>
      <c r="BA52" s="295"/>
      <c r="BB52" s="281"/>
      <c r="BC52" s="282"/>
      <c r="BD52" s="281"/>
      <c r="BE52" s="282"/>
      <c r="BF52" s="281"/>
      <c r="BG52" s="282"/>
      <c r="BH52" s="281"/>
      <c r="BI52" s="282"/>
    </row>
    <row r="53" spans="3:61" s="82" customFormat="1" ht="14.25" customHeight="1">
      <c r="C53" s="238"/>
      <c r="D53" s="239"/>
      <c r="E53" s="216">
        <v>3</v>
      </c>
      <c r="F53" s="217"/>
      <c r="G53" s="94" t="s">
        <v>143</v>
      </c>
      <c r="H53" s="95" t="s">
        <v>142</v>
      </c>
      <c r="I53" s="94" t="s">
        <v>143</v>
      </c>
      <c r="J53" s="95" t="s">
        <v>142</v>
      </c>
      <c r="K53" s="94" t="s">
        <v>143</v>
      </c>
      <c r="L53" s="95" t="s">
        <v>142</v>
      </c>
      <c r="M53" s="94" t="s">
        <v>143</v>
      </c>
      <c r="N53" s="95" t="s">
        <v>142</v>
      </c>
      <c r="O53" s="94" t="s">
        <v>143</v>
      </c>
      <c r="P53" s="95" t="s">
        <v>142</v>
      </c>
      <c r="Q53" s="94" t="s">
        <v>143</v>
      </c>
      <c r="R53" s="95" t="s">
        <v>142</v>
      </c>
      <c r="S53" s="94" t="s">
        <v>143</v>
      </c>
      <c r="T53" s="95" t="s">
        <v>142</v>
      </c>
      <c r="U53" s="94" t="s">
        <v>143</v>
      </c>
      <c r="V53" s="95" t="s">
        <v>142</v>
      </c>
      <c r="W53" s="252"/>
      <c r="X53" s="252"/>
      <c r="Y53" s="252"/>
      <c r="Z53" s="252"/>
      <c r="AA53" s="252"/>
      <c r="AB53" s="252"/>
      <c r="AC53" s="284"/>
      <c r="AD53" s="284"/>
      <c r="AE53" s="284"/>
      <c r="AF53" s="285"/>
      <c r="AG53" s="106" t="s">
        <v>140</v>
      </c>
      <c r="AH53" s="106" t="s">
        <v>141</v>
      </c>
      <c r="AI53" s="106" t="s">
        <v>140</v>
      </c>
      <c r="AJ53" s="106" t="s">
        <v>141</v>
      </c>
      <c r="AK53" s="106"/>
      <c r="AL53" s="106"/>
      <c r="AM53" s="106"/>
      <c r="AN53" s="106"/>
      <c r="AO53" s="106"/>
      <c r="AP53" s="106"/>
      <c r="AQ53" s="106"/>
      <c r="AR53" s="107" t="s">
        <v>140</v>
      </c>
      <c r="AS53" s="107"/>
      <c r="AT53" s="107" t="s">
        <v>141</v>
      </c>
      <c r="AU53" s="226"/>
      <c r="AV53" s="226"/>
      <c r="AW53" s="227"/>
      <c r="AX53" s="216"/>
      <c r="AY53" s="217"/>
      <c r="AZ53" s="294"/>
      <c r="BA53" s="295"/>
      <c r="BB53" s="102" t="s">
        <v>156</v>
      </c>
      <c r="BC53" s="102" t="s">
        <v>157</v>
      </c>
      <c r="BD53" s="103" t="s">
        <v>156</v>
      </c>
      <c r="BE53" s="103" t="s">
        <v>157</v>
      </c>
      <c r="BF53" s="102" t="s">
        <v>156</v>
      </c>
      <c r="BG53" s="104" t="s">
        <v>157</v>
      </c>
      <c r="BH53" s="103" t="s">
        <v>156</v>
      </c>
      <c r="BI53" s="105" t="s">
        <v>157</v>
      </c>
    </row>
    <row r="54" spans="3:61" s="82" customFormat="1" ht="14.25" customHeight="1">
      <c r="C54" s="238"/>
      <c r="D54" s="239"/>
      <c r="E54" s="216">
        <v>4</v>
      </c>
      <c r="F54" s="217"/>
      <c r="G54" s="97" t="s">
        <v>141</v>
      </c>
      <c r="H54" s="94" t="s">
        <v>143</v>
      </c>
      <c r="I54" s="97" t="s">
        <v>141</v>
      </c>
      <c r="J54" s="94" t="s">
        <v>143</v>
      </c>
      <c r="K54" s="97" t="s">
        <v>141</v>
      </c>
      <c r="L54" s="94" t="s">
        <v>143</v>
      </c>
      <c r="M54" s="97" t="s">
        <v>141</v>
      </c>
      <c r="N54" s="94" t="s">
        <v>143</v>
      </c>
      <c r="O54" s="97" t="s">
        <v>141</v>
      </c>
      <c r="P54" s="94" t="s">
        <v>143</v>
      </c>
      <c r="Q54" s="97" t="s">
        <v>141</v>
      </c>
      <c r="R54" s="94" t="s">
        <v>143</v>
      </c>
      <c r="S54" s="97" t="s">
        <v>141</v>
      </c>
      <c r="T54" s="94" t="s">
        <v>143</v>
      </c>
      <c r="U54" s="97" t="s">
        <v>141</v>
      </c>
      <c r="V54" s="94" t="s">
        <v>143</v>
      </c>
      <c r="W54" s="252"/>
      <c r="X54" s="252"/>
      <c r="Y54" s="252"/>
      <c r="Z54" s="252"/>
      <c r="AA54" s="252"/>
      <c r="AB54" s="252"/>
      <c r="AC54" s="284"/>
      <c r="AD54" s="284"/>
      <c r="AE54" s="284"/>
      <c r="AF54" s="285"/>
      <c r="AG54" s="218"/>
      <c r="AH54" s="219"/>
      <c r="AI54" s="219"/>
      <c r="AJ54" s="219"/>
      <c r="AK54" s="219"/>
      <c r="AL54" s="219"/>
      <c r="AM54" s="219"/>
      <c r="AN54" s="219"/>
      <c r="AO54" s="219"/>
      <c r="AP54" s="219"/>
      <c r="AQ54" s="219"/>
      <c r="AR54" s="219"/>
      <c r="AS54" s="219"/>
      <c r="AT54" s="219"/>
      <c r="AU54" s="219"/>
      <c r="AV54" s="219"/>
      <c r="AW54" s="220"/>
      <c r="AX54" s="267"/>
      <c r="AY54" s="268"/>
      <c r="AZ54" s="265">
        <v>0</v>
      </c>
      <c r="BA54" s="266"/>
      <c r="BB54" s="108" t="s">
        <v>185</v>
      </c>
      <c r="BC54" s="108" t="s">
        <v>197</v>
      </c>
      <c r="BD54" s="109">
        <v>0</v>
      </c>
      <c r="BE54" s="109">
        <v>0</v>
      </c>
      <c r="BF54" s="108" t="s">
        <v>192</v>
      </c>
      <c r="BG54" s="108" t="s">
        <v>197</v>
      </c>
      <c r="BH54" s="110">
        <v>1</v>
      </c>
      <c r="BI54" s="111">
        <v>0</v>
      </c>
    </row>
    <row r="55" spans="3:61" s="82" customFormat="1" ht="14.25" customHeight="1">
      <c r="C55" s="238"/>
      <c r="D55" s="239"/>
      <c r="E55" s="216">
        <v>5</v>
      </c>
      <c r="F55" s="217"/>
      <c r="G55" s="94" t="s">
        <v>143</v>
      </c>
      <c r="H55" s="98" t="s">
        <v>158</v>
      </c>
      <c r="I55" s="98" t="s">
        <v>159</v>
      </c>
      <c r="J55" s="95" t="s">
        <v>142</v>
      </c>
      <c r="K55" s="94" t="s">
        <v>143</v>
      </c>
      <c r="L55" s="95" t="s">
        <v>142</v>
      </c>
      <c r="M55" s="94" t="s">
        <v>143</v>
      </c>
      <c r="N55" s="95" t="s">
        <v>142</v>
      </c>
      <c r="O55" s="94" t="s">
        <v>143</v>
      </c>
      <c r="P55" s="98" t="s">
        <v>160</v>
      </c>
      <c r="Q55" s="98" t="s">
        <v>161</v>
      </c>
      <c r="R55" s="95" t="s">
        <v>142</v>
      </c>
      <c r="S55" s="94" t="s">
        <v>143</v>
      </c>
      <c r="T55" s="95" t="s">
        <v>142</v>
      </c>
      <c r="U55" s="94" t="s">
        <v>143</v>
      </c>
      <c r="V55" s="95" t="s">
        <v>142</v>
      </c>
      <c r="W55" s="252"/>
      <c r="X55" s="252"/>
      <c r="Y55" s="252"/>
      <c r="Z55" s="252"/>
      <c r="AA55" s="252"/>
      <c r="AB55" s="252"/>
      <c r="AC55" s="284"/>
      <c r="AD55" s="284"/>
      <c r="AE55" s="284"/>
      <c r="AF55" s="285"/>
      <c r="AG55" s="221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3"/>
      <c r="AX55" s="267"/>
      <c r="AY55" s="268"/>
      <c r="AZ55" s="265">
        <v>1</v>
      </c>
      <c r="BA55" s="266"/>
      <c r="BB55" s="108" t="s">
        <v>186</v>
      </c>
      <c r="BC55" s="108" t="s">
        <v>197</v>
      </c>
      <c r="BD55" s="109">
        <v>2</v>
      </c>
      <c r="BE55" s="109">
        <v>0</v>
      </c>
      <c r="BF55" s="108" t="s">
        <v>193</v>
      </c>
      <c r="BG55" s="108" t="s">
        <v>197</v>
      </c>
      <c r="BH55" s="110">
        <v>3</v>
      </c>
      <c r="BI55" s="111">
        <v>0</v>
      </c>
    </row>
    <row r="56" spans="3:61" s="82" customFormat="1" ht="14.25" customHeight="1">
      <c r="C56" s="238"/>
      <c r="D56" s="239"/>
      <c r="E56" s="216">
        <v>6</v>
      </c>
      <c r="F56" s="217"/>
      <c r="G56" s="97" t="s">
        <v>141</v>
      </c>
      <c r="H56" s="94" t="s">
        <v>143</v>
      </c>
      <c r="I56" s="97" t="s">
        <v>141</v>
      </c>
      <c r="J56" s="94" t="s">
        <v>143</v>
      </c>
      <c r="K56" s="97" t="s">
        <v>141</v>
      </c>
      <c r="L56" s="94" t="s">
        <v>143</v>
      </c>
      <c r="M56" s="97" t="s">
        <v>141</v>
      </c>
      <c r="N56" s="94" t="s">
        <v>143</v>
      </c>
      <c r="O56" s="97" t="s">
        <v>141</v>
      </c>
      <c r="P56" s="94" t="s">
        <v>143</v>
      </c>
      <c r="Q56" s="97" t="s">
        <v>141</v>
      </c>
      <c r="R56" s="94" t="s">
        <v>143</v>
      </c>
      <c r="S56" s="97" t="s">
        <v>141</v>
      </c>
      <c r="T56" s="94" t="s">
        <v>143</v>
      </c>
      <c r="U56" s="97" t="s">
        <v>141</v>
      </c>
      <c r="V56" s="94" t="s">
        <v>143</v>
      </c>
      <c r="W56" s="252"/>
      <c r="X56" s="252"/>
      <c r="Y56" s="252"/>
      <c r="Z56" s="252"/>
      <c r="AA56" s="252"/>
      <c r="AB56" s="252"/>
      <c r="AC56" s="284"/>
      <c r="AD56" s="284"/>
      <c r="AE56" s="284"/>
      <c r="AF56" s="285"/>
      <c r="AG56" s="99" t="s">
        <v>162</v>
      </c>
      <c r="AH56" s="99" t="s">
        <v>163</v>
      </c>
      <c r="AI56" s="99" t="s">
        <v>164</v>
      </c>
      <c r="AJ56" s="99" t="s">
        <v>165</v>
      </c>
      <c r="AK56" s="99"/>
      <c r="AL56" s="99"/>
      <c r="AM56" s="99"/>
      <c r="AN56" s="99"/>
      <c r="AO56" s="99"/>
      <c r="AP56" s="99"/>
      <c r="AQ56" s="99"/>
      <c r="AR56" s="100" t="s">
        <v>140</v>
      </c>
      <c r="AS56" s="100"/>
      <c r="AT56" s="101" t="s">
        <v>141</v>
      </c>
      <c r="AU56" s="224" t="s">
        <v>145</v>
      </c>
      <c r="AV56" s="224"/>
      <c r="AW56" s="225"/>
      <c r="AX56" s="216">
        <v>1</v>
      </c>
      <c r="AY56" s="217"/>
      <c r="AZ56" s="265">
        <v>2</v>
      </c>
      <c r="BA56" s="266"/>
      <c r="BB56" s="108" t="s">
        <v>196</v>
      </c>
      <c r="BC56" s="108" t="s">
        <v>198</v>
      </c>
      <c r="BD56" s="109">
        <v>0</v>
      </c>
      <c r="BE56" s="109">
        <v>1</v>
      </c>
      <c r="BF56" s="108" t="s">
        <v>194</v>
      </c>
      <c r="BG56" s="108" t="s">
        <v>198</v>
      </c>
      <c r="BH56" s="110">
        <v>1</v>
      </c>
      <c r="BI56" s="111">
        <v>1</v>
      </c>
    </row>
    <row r="57" spans="3:61" s="82" customFormat="1" ht="14.25" customHeight="1">
      <c r="C57" s="238"/>
      <c r="D57" s="239"/>
      <c r="E57" s="216">
        <v>7</v>
      </c>
      <c r="F57" s="217"/>
      <c r="G57" s="94" t="s">
        <v>143</v>
      </c>
      <c r="H57" s="95" t="s">
        <v>142</v>
      </c>
      <c r="I57" s="94" t="s">
        <v>143</v>
      </c>
      <c r="J57" s="95" t="s">
        <v>142</v>
      </c>
      <c r="K57" s="94" t="s">
        <v>143</v>
      </c>
      <c r="L57" s="95" t="s">
        <v>142</v>
      </c>
      <c r="M57" s="94" t="s">
        <v>143</v>
      </c>
      <c r="N57" s="95" t="s">
        <v>142</v>
      </c>
      <c r="O57" s="94" t="s">
        <v>143</v>
      </c>
      <c r="P57" s="95" t="s">
        <v>142</v>
      </c>
      <c r="Q57" s="94" t="s">
        <v>143</v>
      </c>
      <c r="R57" s="95" t="s">
        <v>142</v>
      </c>
      <c r="S57" s="94" t="s">
        <v>143</v>
      </c>
      <c r="T57" s="95" t="s">
        <v>142</v>
      </c>
      <c r="U57" s="94" t="s">
        <v>143</v>
      </c>
      <c r="V57" s="95" t="s">
        <v>142</v>
      </c>
      <c r="W57" s="252"/>
      <c r="X57" s="252"/>
      <c r="Y57" s="252"/>
      <c r="Z57" s="252"/>
      <c r="AA57" s="252"/>
      <c r="AB57" s="252"/>
      <c r="AC57" s="284"/>
      <c r="AD57" s="284"/>
      <c r="AE57" s="284"/>
      <c r="AF57" s="285"/>
      <c r="AG57" s="112" t="s">
        <v>140</v>
      </c>
      <c r="AH57" s="112" t="s">
        <v>141</v>
      </c>
      <c r="AI57" s="112" t="s">
        <v>140</v>
      </c>
      <c r="AJ57" s="112" t="s">
        <v>141</v>
      </c>
      <c r="AK57" s="112"/>
      <c r="AL57" s="112"/>
      <c r="AM57" s="112"/>
      <c r="AN57" s="112"/>
      <c r="AO57" s="112"/>
      <c r="AP57" s="112"/>
      <c r="AQ57" s="106"/>
      <c r="AR57" s="107" t="s">
        <v>140</v>
      </c>
      <c r="AS57" s="107"/>
      <c r="AT57" s="107" t="s">
        <v>141</v>
      </c>
      <c r="AU57" s="226"/>
      <c r="AV57" s="226"/>
      <c r="AW57" s="227"/>
      <c r="AX57" s="216"/>
      <c r="AY57" s="217"/>
      <c r="AZ57" s="265">
        <v>3</v>
      </c>
      <c r="BA57" s="266"/>
      <c r="BB57" s="108" t="s">
        <v>187</v>
      </c>
      <c r="BC57" s="108" t="s">
        <v>198</v>
      </c>
      <c r="BD57" s="109">
        <v>2</v>
      </c>
      <c r="BE57" s="109">
        <v>1</v>
      </c>
      <c r="BF57" s="108" t="s">
        <v>195</v>
      </c>
      <c r="BG57" s="108" t="s">
        <v>198</v>
      </c>
      <c r="BH57" s="110">
        <v>3</v>
      </c>
      <c r="BI57" s="111">
        <v>1</v>
      </c>
    </row>
    <row r="58" spans="3:61" s="82" customFormat="1" ht="14.25" customHeight="1">
      <c r="C58" s="238"/>
      <c r="D58" s="239"/>
      <c r="E58" s="216">
        <v>8</v>
      </c>
      <c r="F58" s="217"/>
      <c r="G58" s="97" t="s">
        <v>141</v>
      </c>
      <c r="H58" s="94" t="s">
        <v>143</v>
      </c>
      <c r="I58" s="97" t="s">
        <v>141</v>
      </c>
      <c r="J58" s="94" t="s">
        <v>143</v>
      </c>
      <c r="K58" s="97" t="s">
        <v>141</v>
      </c>
      <c r="L58" s="94" t="s">
        <v>143</v>
      </c>
      <c r="M58" s="97" t="s">
        <v>141</v>
      </c>
      <c r="N58" s="94" t="s">
        <v>143</v>
      </c>
      <c r="O58" s="97" t="s">
        <v>141</v>
      </c>
      <c r="P58" s="94" t="s">
        <v>143</v>
      </c>
      <c r="Q58" s="97" t="s">
        <v>141</v>
      </c>
      <c r="R58" s="94" t="s">
        <v>143</v>
      </c>
      <c r="S58" s="97" t="s">
        <v>141</v>
      </c>
      <c r="T58" s="94" t="s">
        <v>143</v>
      </c>
      <c r="U58" s="97" t="s">
        <v>141</v>
      </c>
      <c r="V58" s="94" t="s">
        <v>143</v>
      </c>
      <c r="W58" s="252"/>
      <c r="X58" s="252"/>
      <c r="Y58" s="252"/>
      <c r="Z58" s="252"/>
      <c r="AA58" s="252"/>
      <c r="AB58" s="252"/>
      <c r="AC58" s="284"/>
      <c r="AD58" s="284"/>
      <c r="AE58" s="284"/>
      <c r="AF58" s="285"/>
      <c r="AG58" s="218"/>
      <c r="AH58" s="219"/>
      <c r="AI58" s="219"/>
      <c r="AJ58" s="219"/>
      <c r="AK58" s="219"/>
      <c r="AL58" s="219"/>
      <c r="AM58" s="219"/>
      <c r="AN58" s="219"/>
      <c r="AO58" s="219"/>
      <c r="AP58" s="219"/>
      <c r="AQ58" s="219"/>
      <c r="AR58" s="219"/>
      <c r="AS58" s="219"/>
      <c r="AT58" s="219"/>
      <c r="AU58" s="219"/>
      <c r="AV58" s="219"/>
      <c r="AW58" s="220"/>
      <c r="AX58" s="267"/>
      <c r="AY58" s="268"/>
      <c r="AZ58" s="265">
        <v>4</v>
      </c>
      <c r="BA58" s="266"/>
      <c r="BB58" s="108" t="s">
        <v>185</v>
      </c>
      <c r="BC58" s="108" t="s">
        <v>199</v>
      </c>
      <c r="BD58" s="109">
        <v>0</v>
      </c>
      <c r="BE58" s="109">
        <v>2</v>
      </c>
      <c r="BF58" s="108" t="s">
        <v>192</v>
      </c>
      <c r="BG58" s="108" t="s">
        <v>199</v>
      </c>
      <c r="BH58" s="110">
        <v>1</v>
      </c>
      <c r="BI58" s="111">
        <v>2</v>
      </c>
    </row>
    <row r="59" spans="3:61" s="82" customFormat="1" ht="14.25" customHeight="1">
      <c r="C59" s="238"/>
      <c r="D59" s="239"/>
      <c r="E59" s="216">
        <v>9</v>
      </c>
      <c r="F59" s="217"/>
      <c r="G59" s="94" t="s">
        <v>143</v>
      </c>
      <c r="H59" s="95" t="s">
        <v>142</v>
      </c>
      <c r="I59" s="94" t="s">
        <v>143</v>
      </c>
      <c r="J59" s="95" t="s">
        <v>142</v>
      </c>
      <c r="K59" s="94" t="s">
        <v>143</v>
      </c>
      <c r="L59" s="98" t="s">
        <v>166</v>
      </c>
      <c r="M59" s="98" t="s">
        <v>167</v>
      </c>
      <c r="N59" s="95" t="s">
        <v>142</v>
      </c>
      <c r="O59" s="94" t="s">
        <v>143</v>
      </c>
      <c r="P59" s="95" t="s">
        <v>142</v>
      </c>
      <c r="Q59" s="94" t="s">
        <v>143</v>
      </c>
      <c r="R59" s="95" t="s">
        <v>142</v>
      </c>
      <c r="S59" s="94" t="s">
        <v>143</v>
      </c>
      <c r="T59" s="98" t="s">
        <v>168</v>
      </c>
      <c r="U59" s="98" t="s">
        <v>169</v>
      </c>
      <c r="V59" s="95" t="s">
        <v>142</v>
      </c>
      <c r="W59" s="252"/>
      <c r="X59" s="252"/>
      <c r="Y59" s="252"/>
      <c r="Z59" s="252"/>
      <c r="AA59" s="252"/>
      <c r="AB59" s="252"/>
      <c r="AC59" s="284"/>
      <c r="AD59" s="284"/>
      <c r="AE59" s="284"/>
      <c r="AF59" s="285"/>
      <c r="AG59" s="221"/>
      <c r="AH59" s="222"/>
      <c r="AI59" s="222"/>
      <c r="AJ59" s="222"/>
      <c r="AK59" s="222"/>
      <c r="AL59" s="222"/>
      <c r="AM59" s="222"/>
      <c r="AN59" s="222"/>
      <c r="AO59" s="222"/>
      <c r="AP59" s="222"/>
      <c r="AQ59" s="222"/>
      <c r="AR59" s="222"/>
      <c r="AS59" s="222"/>
      <c r="AT59" s="222"/>
      <c r="AU59" s="222"/>
      <c r="AV59" s="222"/>
      <c r="AW59" s="223"/>
      <c r="AX59" s="267"/>
      <c r="AY59" s="268"/>
      <c r="AZ59" s="265">
        <v>5</v>
      </c>
      <c r="BA59" s="266"/>
      <c r="BB59" s="108" t="s">
        <v>186</v>
      </c>
      <c r="BC59" s="108" t="s">
        <v>199</v>
      </c>
      <c r="BD59" s="109">
        <v>2</v>
      </c>
      <c r="BE59" s="109">
        <v>2</v>
      </c>
      <c r="BF59" s="108" t="s">
        <v>193</v>
      </c>
      <c r="BG59" s="108" t="s">
        <v>199</v>
      </c>
      <c r="BH59" s="110">
        <v>3</v>
      </c>
      <c r="BI59" s="111">
        <v>2</v>
      </c>
    </row>
    <row r="60" spans="3:61" s="82" customFormat="1" ht="14.25" customHeight="1">
      <c r="C60" s="238"/>
      <c r="D60" s="239"/>
      <c r="E60" s="216">
        <v>10</v>
      </c>
      <c r="F60" s="217"/>
      <c r="G60" s="97" t="s">
        <v>141</v>
      </c>
      <c r="H60" s="94" t="s">
        <v>143</v>
      </c>
      <c r="I60" s="97" t="s">
        <v>141</v>
      </c>
      <c r="J60" s="94" t="s">
        <v>143</v>
      </c>
      <c r="K60" s="97" t="s">
        <v>141</v>
      </c>
      <c r="L60" s="94" t="s">
        <v>143</v>
      </c>
      <c r="M60" s="97" t="s">
        <v>141</v>
      </c>
      <c r="N60" s="94" t="s">
        <v>143</v>
      </c>
      <c r="O60" s="97" t="s">
        <v>141</v>
      </c>
      <c r="P60" s="94" t="s">
        <v>143</v>
      </c>
      <c r="Q60" s="97" t="s">
        <v>141</v>
      </c>
      <c r="R60" s="94" t="s">
        <v>143</v>
      </c>
      <c r="S60" s="97" t="s">
        <v>141</v>
      </c>
      <c r="T60" s="94" t="s">
        <v>143</v>
      </c>
      <c r="U60" s="97" t="s">
        <v>141</v>
      </c>
      <c r="V60" s="94" t="s">
        <v>143</v>
      </c>
      <c r="W60" s="252"/>
      <c r="X60" s="252"/>
      <c r="Y60" s="252"/>
      <c r="Z60" s="252"/>
      <c r="AA60" s="252"/>
      <c r="AB60" s="252"/>
      <c r="AC60" s="284"/>
      <c r="AD60" s="284"/>
      <c r="AE60" s="284"/>
      <c r="AF60" s="285"/>
      <c r="AG60" s="99" t="s">
        <v>170</v>
      </c>
      <c r="AH60" s="99" t="s">
        <v>171</v>
      </c>
      <c r="AI60" s="99" t="s">
        <v>172</v>
      </c>
      <c r="AJ60" s="99" t="s">
        <v>173</v>
      </c>
      <c r="AK60" s="99"/>
      <c r="AL60" s="99"/>
      <c r="AM60" s="99"/>
      <c r="AN60" s="99"/>
      <c r="AO60" s="99"/>
      <c r="AP60" s="99"/>
      <c r="AQ60" s="99"/>
      <c r="AR60" s="100" t="s">
        <v>140</v>
      </c>
      <c r="AS60" s="100"/>
      <c r="AT60" s="101" t="s">
        <v>141</v>
      </c>
      <c r="AU60" s="224" t="s">
        <v>145</v>
      </c>
      <c r="AV60" s="224"/>
      <c r="AW60" s="225"/>
      <c r="AX60" s="216">
        <v>2</v>
      </c>
      <c r="AY60" s="217"/>
      <c r="AZ60" s="265">
        <v>6</v>
      </c>
      <c r="BA60" s="266"/>
      <c r="BB60" s="108" t="s">
        <v>196</v>
      </c>
      <c r="BC60" s="108" t="s">
        <v>200</v>
      </c>
      <c r="BD60" s="109">
        <v>0</v>
      </c>
      <c r="BE60" s="109">
        <v>3</v>
      </c>
      <c r="BF60" s="108" t="s">
        <v>194</v>
      </c>
      <c r="BG60" s="108" t="s">
        <v>200</v>
      </c>
      <c r="BH60" s="110">
        <v>1</v>
      </c>
      <c r="BI60" s="111">
        <v>3</v>
      </c>
    </row>
    <row r="61" spans="3:61" s="82" customFormat="1" ht="14.25" customHeight="1">
      <c r="C61" s="238"/>
      <c r="D61" s="239"/>
      <c r="E61" s="216">
        <v>11</v>
      </c>
      <c r="F61" s="217"/>
      <c r="G61" s="94" t="s">
        <v>143</v>
      </c>
      <c r="H61" s="95" t="s">
        <v>142</v>
      </c>
      <c r="I61" s="94" t="s">
        <v>143</v>
      </c>
      <c r="J61" s="95" t="s">
        <v>142</v>
      </c>
      <c r="K61" s="94" t="s">
        <v>143</v>
      </c>
      <c r="L61" s="95" t="s">
        <v>142</v>
      </c>
      <c r="M61" s="94" t="s">
        <v>143</v>
      </c>
      <c r="N61" s="95" t="s">
        <v>142</v>
      </c>
      <c r="O61" s="94" t="s">
        <v>143</v>
      </c>
      <c r="P61" s="95" t="s">
        <v>142</v>
      </c>
      <c r="Q61" s="94" t="s">
        <v>143</v>
      </c>
      <c r="R61" s="95" t="s">
        <v>142</v>
      </c>
      <c r="S61" s="94" t="s">
        <v>143</v>
      </c>
      <c r="T61" s="95" t="s">
        <v>142</v>
      </c>
      <c r="U61" s="94" t="s">
        <v>143</v>
      </c>
      <c r="V61" s="95" t="s">
        <v>142</v>
      </c>
      <c r="W61" s="252"/>
      <c r="X61" s="252"/>
      <c r="Y61" s="252"/>
      <c r="Z61" s="252"/>
      <c r="AA61" s="252"/>
      <c r="AB61" s="252"/>
      <c r="AC61" s="284"/>
      <c r="AD61" s="284"/>
      <c r="AE61" s="284"/>
      <c r="AF61" s="285"/>
      <c r="AG61" s="106" t="s">
        <v>140</v>
      </c>
      <c r="AH61" s="106" t="s">
        <v>141</v>
      </c>
      <c r="AI61" s="106" t="s">
        <v>140</v>
      </c>
      <c r="AJ61" s="106" t="s">
        <v>141</v>
      </c>
      <c r="AK61" s="106"/>
      <c r="AL61" s="106"/>
      <c r="AM61" s="106"/>
      <c r="AN61" s="106"/>
      <c r="AO61" s="106"/>
      <c r="AP61" s="106"/>
      <c r="AQ61" s="106"/>
      <c r="AR61" s="107" t="s">
        <v>140</v>
      </c>
      <c r="AS61" s="107"/>
      <c r="AT61" s="107" t="s">
        <v>141</v>
      </c>
      <c r="AU61" s="226"/>
      <c r="AV61" s="226"/>
      <c r="AW61" s="227"/>
      <c r="AX61" s="216"/>
      <c r="AY61" s="217"/>
      <c r="AZ61" s="265">
        <v>7</v>
      </c>
      <c r="BA61" s="266"/>
      <c r="BB61" s="108" t="s">
        <v>187</v>
      </c>
      <c r="BC61" s="108" t="s">
        <v>200</v>
      </c>
      <c r="BD61" s="109">
        <v>2</v>
      </c>
      <c r="BE61" s="109">
        <v>3</v>
      </c>
      <c r="BF61" s="108" t="s">
        <v>195</v>
      </c>
      <c r="BG61" s="108" t="s">
        <v>200</v>
      </c>
      <c r="BH61" s="110">
        <v>3</v>
      </c>
      <c r="BI61" s="111">
        <v>3</v>
      </c>
    </row>
    <row r="62" spans="3:61" s="82" customFormat="1" ht="14.25" customHeight="1">
      <c r="C62" s="238"/>
      <c r="D62" s="239"/>
      <c r="E62" s="216">
        <v>12</v>
      </c>
      <c r="F62" s="217"/>
      <c r="G62" s="97" t="s">
        <v>141</v>
      </c>
      <c r="H62" s="94" t="s">
        <v>143</v>
      </c>
      <c r="I62" s="97" t="s">
        <v>141</v>
      </c>
      <c r="J62" s="94" t="s">
        <v>143</v>
      </c>
      <c r="K62" s="97" t="s">
        <v>141</v>
      </c>
      <c r="L62" s="94" t="s">
        <v>143</v>
      </c>
      <c r="M62" s="97" t="s">
        <v>141</v>
      </c>
      <c r="N62" s="94" t="s">
        <v>143</v>
      </c>
      <c r="O62" s="97" t="s">
        <v>141</v>
      </c>
      <c r="P62" s="94" t="s">
        <v>143</v>
      </c>
      <c r="Q62" s="97" t="s">
        <v>141</v>
      </c>
      <c r="R62" s="94" t="s">
        <v>143</v>
      </c>
      <c r="S62" s="97" t="s">
        <v>141</v>
      </c>
      <c r="T62" s="94" t="s">
        <v>143</v>
      </c>
      <c r="U62" s="97" t="s">
        <v>141</v>
      </c>
      <c r="V62" s="94" t="s">
        <v>143</v>
      </c>
      <c r="W62" s="252"/>
      <c r="X62" s="252"/>
      <c r="Y62" s="252"/>
      <c r="Z62" s="252"/>
      <c r="AA62" s="252"/>
      <c r="AB62" s="252"/>
      <c r="AC62" s="284"/>
      <c r="AD62" s="284"/>
      <c r="AE62" s="284"/>
      <c r="AF62" s="285"/>
      <c r="AG62" s="218"/>
      <c r="AH62" s="219"/>
      <c r="AI62" s="219"/>
      <c r="AJ62" s="219"/>
      <c r="AK62" s="219"/>
      <c r="AL62" s="219"/>
      <c r="AM62" s="219"/>
      <c r="AN62" s="219"/>
      <c r="AO62" s="219"/>
      <c r="AP62" s="219"/>
      <c r="AQ62" s="219"/>
      <c r="AR62" s="219"/>
      <c r="AS62" s="219"/>
      <c r="AT62" s="219"/>
      <c r="AU62" s="219"/>
      <c r="AV62" s="219"/>
      <c r="AW62" s="220"/>
      <c r="AX62" s="267"/>
      <c r="AY62" s="268"/>
      <c r="AZ62" s="269"/>
      <c r="BA62" s="270"/>
      <c r="BB62" s="270"/>
      <c r="BC62" s="270"/>
      <c r="BD62" s="270"/>
      <c r="BE62" s="270"/>
      <c r="BF62" s="270"/>
      <c r="BG62" s="270"/>
      <c r="BH62" s="270"/>
      <c r="BI62" s="271"/>
    </row>
    <row r="63" spans="3:61" s="82" customFormat="1" ht="14.25" customHeight="1">
      <c r="C63" s="238"/>
      <c r="D63" s="239"/>
      <c r="E63" s="216">
        <v>13</v>
      </c>
      <c r="F63" s="217"/>
      <c r="G63" s="94" t="s">
        <v>143</v>
      </c>
      <c r="H63" s="98" t="s">
        <v>174</v>
      </c>
      <c r="I63" s="98" t="s">
        <v>175</v>
      </c>
      <c r="J63" s="95" t="s">
        <v>142</v>
      </c>
      <c r="K63" s="94" t="s">
        <v>143</v>
      </c>
      <c r="L63" s="95" t="s">
        <v>142</v>
      </c>
      <c r="M63" s="94" t="s">
        <v>143</v>
      </c>
      <c r="N63" s="95" t="s">
        <v>142</v>
      </c>
      <c r="O63" s="94" t="s">
        <v>143</v>
      </c>
      <c r="P63" s="98" t="s">
        <v>176</v>
      </c>
      <c r="Q63" s="98" t="s">
        <v>177</v>
      </c>
      <c r="R63" s="95" t="s">
        <v>142</v>
      </c>
      <c r="S63" s="94" t="s">
        <v>143</v>
      </c>
      <c r="T63" s="95" t="s">
        <v>142</v>
      </c>
      <c r="U63" s="94" t="s">
        <v>143</v>
      </c>
      <c r="V63" s="95" t="s">
        <v>142</v>
      </c>
      <c r="W63" s="252"/>
      <c r="X63" s="252"/>
      <c r="Y63" s="252"/>
      <c r="Z63" s="252"/>
      <c r="AA63" s="252"/>
      <c r="AB63" s="252"/>
      <c r="AC63" s="284"/>
      <c r="AD63" s="284"/>
      <c r="AE63" s="284"/>
      <c r="AF63" s="285"/>
      <c r="AG63" s="221"/>
      <c r="AH63" s="222"/>
      <c r="AI63" s="222"/>
      <c r="AJ63" s="222"/>
      <c r="AK63" s="222"/>
      <c r="AL63" s="222"/>
      <c r="AM63" s="222"/>
      <c r="AN63" s="222"/>
      <c r="AO63" s="222"/>
      <c r="AP63" s="222"/>
      <c r="AQ63" s="222"/>
      <c r="AR63" s="222"/>
      <c r="AS63" s="222"/>
      <c r="AT63" s="222"/>
      <c r="AU63" s="222"/>
      <c r="AV63" s="222"/>
      <c r="AW63" s="223"/>
      <c r="AX63" s="267"/>
      <c r="AY63" s="268"/>
      <c r="AZ63" s="269"/>
      <c r="BA63" s="270"/>
      <c r="BB63" s="270"/>
      <c r="BC63" s="270"/>
      <c r="BD63" s="270"/>
      <c r="BE63" s="270"/>
      <c r="BF63" s="270"/>
      <c r="BG63" s="270"/>
      <c r="BH63" s="270"/>
      <c r="BI63" s="271"/>
    </row>
    <row r="64" spans="3:61" s="82" customFormat="1" ht="14.25" customHeight="1">
      <c r="C64" s="238"/>
      <c r="D64" s="239"/>
      <c r="E64" s="216">
        <v>14</v>
      </c>
      <c r="F64" s="217"/>
      <c r="G64" s="97" t="s">
        <v>141</v>
      </c>
      <c r="H64" s="94" t="s">
        <v>143</v>
      </c>
      <c r="I64" s="97" t="s">
        <v>141</v>
      </c>
      <c r="J64" s="94" t="s">
        <v>143</v>
      </c>
      <c r="K64" s="97" t="s">
        <v>141</v>
      </c>
      <c r="L64" s="94" t="s">
        <v>143</v>
      </c>
      <c r="M64" s="97" t="s">
        <v>141</v>
      </c>
      <c r="N64" s="94" t="s">
        <v>143</v>
      </c>
      <c r="O64" s="97" t="s">
        <v>141</v>
      </c>
      <c r="P64" s="94" t="s">
        <v>143</v>
      </c>
      <c r="Q64" s="97" t="s">
        <v>141</v>
      </c>
      <c r="R64" s="94" t="s">
        <v>143</v>
      </c>
      <c r="S64" s="97" t="s">
        <v>141</v>
      </c>
      <c r="T64" s="94" t="s">
        <v>143</v>
      </c>
      <c r="U64" s="97" t="s">
        <v>141</v>
      </c>
      <c r="V64" s="94" t="s">
        <v>143</v>
      </c>
      <c r="W64" s="252"/>
      <c r="X64" s="252"/>
      <c r="Y64" s="252"/>
      <c r="Z64" s="252"/>
      <c r="AA64" s="252"/>
      <c r="AB64" s="252"/>
      <c r="AC64" s="284"/>
      <c r="AD64" s="284"/>
      <c r="AE64" s="284"/>
      <c r="AF64" s="285"/>
      <c r="AG64" s="99" t="s">
        <v>178</v>
      </c>
      <c r="AH64" s="99" t="s">
        <v>179</v>
      </c>
      <c r="AI64" s="99" t="s">
        <v>180</v>
      </c>
      <c r="AJ64" s="99" t="s">
        <v>181</v>
      </c>
      <c r="AK64" s="99"/>
      <c r="AL64" s="99"/>
      <c r="AM64" s="99"/>
      <c r="AN64" s="99"/>
      <c r="AO64" s="99"/>
      <c r="AP64" s="99"/>
      <c r="AQ64" s="99"/>
      <c r="AR64" s="100" t="s">
        <v>140</v>
      </c>
      <c r="AS64" s="100"/>
      <c r="AT64" s="101" t="s">
        <v>141</v>
      </c>
      <c r="AU64" s="224" t="s">
        <v>145</v>
      </c>
      <c r="AV64" s="224"/>
      <c r="AW64" s="225"/>
      <c r="AX64" s="216">
        <v>3</v>
      </c>
      <c r="AY64" s="217"/>
      <c r="AZ64" s="269"/>
      <c r="BA64" s="270"/>
      <c r="BB64" s="270"/>
      <c r="BC64" s="270"/>
      <c r="BD64" s="270"/>
      <c r="BE64" s="270"/>
      <c r="BF64" s="270"/>
      <c r="BG64" s="270"/>
      <c r="BH64" s="270"/>
      <c r="BI64" s="271"/>
    </row>
    <row r="65" spans="3:61" s="82" customFormat="1" ht="14.25" customHeight="1">
      <c r="C65" s="238"/>
      <c r="D65" s="239"/>
      <c r="E65" s="216">
        <v>15</v>
      </c>
      <c r="F65" s="217"/>
      <c r="G65" s="94" t="s">
        <v>143</v>
      </c>
      <c r="H65" s="95" t="s">
        <v>142</v>
      </c>
      <c r="I65" s="94" t="s">
        <v>143</v>
      </c>
      <c r="J65" s="95" t="s">
        <v>142</v>
      </c>
      <c r="K65" s="94" t="s">
        <v>143</v>
      </c>
      <c r="L65" s="95" t="s">
        <v>142</v>
      </c>
      <c r="M65" s="94" t="s">
        <v>143</v>
      </c>
      <c r="N65" s="95" t="s">
        <v>142</v>
      </c>
      <c r="O65" s="94" t="s">
        <v>143</v>
      </c>
      <c r="P65" s="95" t="s">
        <v>142</v>
      </c>
      <c r="Q65" s="94" t="s">
        <v>143</v>
      </c>
      <c r="R65" s="95" t="s">
        <v>142</v>
      </c>
      <c r="S65" s="94" t="s">
        <v>143</v>
      </c>
      <c r="T65" s="95" t="s">
        <v>142</v>
      </c>
      <c r="U65" s="94" t="s">
        <v>143</v>
      </c>
      <c r="V65" s="95" t="s">
        <v>142</v>
      </c>
      <c r="W65" s="252"/>
      <c r="X65" s="252"/>
      <c r="Y65" s="252"/>
      <c r="Z65" s="252"/>
      <c r="AA65" s="252"/>
      <c r="AB65" s="252"/>
      <c r="AC65" s="284"/>
      <c r="AD65" s="284"/>
      <c r="AE65" s="284"/>
      <c r="AF65" s="285"/>
      <c r="AG65" s="112" t="s">
        <v>140</v>
      </c>
      <c r="AH65" s="112" t="s">
        <v>141</v>
      </c>
      <c r="AI65" s="112" t="s">
        <v>140</v>
      </c>
      <c r="AJ65" s="112" t="s">
        <v>141</v>
      </c>
      <c r="AK65" s="112"/>
      <c r="AL65" s="112"/>
      <c r="AM65" s="112"/>
      <c r="AN65" s="112"/>
      <c r="AO65" s="112"/>
      <c r="AP65" s="112"/>
      <c r="AQ65" s="106"/>
      <c r="AR65" s="107" t="s">
        <v>140</v>
      </c>
      <c r="AS65" s="107"/>
      <c r="AT65" s="107" t="s">
        <v>141</v>
      </c>
      <c r="AU65" s="226"/>
      <c r="AV65" s="226"/>
      <c r="AW65" s="227"/>
      <c r="AX65" s="216"/>
      <c r="AY65" s="217"/>
      <c r="AZ65" s="269"/>
      <c r="BA65" s="270"/>
      <c r="BB65" s="270"/>
      <c r="BC65" s="270"/>
      <c r="BD65" s="270"/>
      <c r="BE65" s="270"/>
      <c r="BF65" s="270"/>
      <c r="BG65" s="270"/>
      <c r="BH65" s="270"/>
      <c r="BI65" s="271"/>
    </row>
    <row r="66" spans="3:61" s="82" customFormat="1" ht="14.25" customHeight="1">
      <c r="C66" s="238"/>
      <c r="D66" s="239"/>
      <c r="E66" s="216" t="s">
        <v>138</v>
      </c>
      <c r="F66" s="217"/>
      <c r="G66" s="242" t="s">
        <v>144</v>
      </c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52"/>
      <c r="X66" s="252"/>
      <c r="Y66" s="252"/>
      <c r="Z66" s="252"/>
      <c r="AA66" s="252"/>
      <c r="AB66" s="252"/>
      <c r="AC66" s="284"/>
      <c r="AD66" s="284"/>
      <c r="AE66" s="284"/>
      <c r="AF66" s="285"/>
      <c r="AG66" s="248" t="s">
        <v>144</v>
      </c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50"/>
      <c r="AX66" s="216" t="s">
        <v>138</v>
      </c>
      <c r="AY66" s="217"/>
      <c r="AZ66" s="269"/>
      <c r="BA66" s="270"/>
      <c r="BB66" s="270"/>
      <c r="BC66" s="270"/>
      <c r="BD66" s="270"/>
      <c r="BE66" s="270"/>
      <c r="BF66" s="270"/>
      <c r="BG66" s="270"/>
      <c r="BH66" s="270"/>
      <c r="BI66" s="271"/>
    </row>
    <row r="67" spans="3:61" s="82" customFormat="1" ht="14.25" customHeight="1">
      <c r="C67" s="238"/>
      <c r="D67" s="239"/>
      <c r="E67" s="216"/>
      <c r="F67" s="217"/>
      <c r="G67" s="244"/>
      <c r="H67" s="245"/>
      <c r="I67" s="245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52"/>
      <c r="X67" s="252"/>
      <c r="Y67" s="252"/>
      <c r="Z67" s="252"/>
      <c r="AA67" s="252"/>
      <c r="AB67" s="252"/>
      <c r="AC67" s="284"/>
      <c r="AD67" s="284"/>
      <c r="AE67" s="284"/>
      <c r="AF67" s="285"/>
      <c r="AG67" s="251"/>
      <c r="AH67" s="252"/>
      <c r="AI67" s="252"/>
      <c r="AJ67" s="252"/>
      <c r="AK67" s="252"/>
      <c r="AL67" s="252"/>
      <c r="AM67" s="252"/>
      <c r="AN67" s="252"/>
      <c r="AO67" s="252"/>
      <c r="AP67" s="252"/>
      <c r="AQ67" s="252"/>
      <c r="AR67" s="252"/>
      <c r="AS67" s="252"/>
      <c r="AT67" s="252"/>
      <c r="AU67" s="252"/>
      <c r="AV67" s="252"/>
      <c r="AW67" s="253"/>
      <c r="AX67" s="216"/>
      <c r="AY67" s="217"/>
      <c r="AZ67" s="269"/>
      <c r="BA67" s="270"/>
      <c r="BB67" s="270"/>
      <c r="BC67" s="270"/>
      <c r="BD67" s="270"/>
      <c r="BE67" s="270"/>
      <c r="BF67" s="270"/>
      <c r="BG67" s="270"/>
      <c r="BH67" s="270"/>
      <c r="BI67" s="271"/>
    </row>
    <row r="68" spans="3:61" s="82" customFormat="1" ht="14.25" customHeight="1">
      <c r="C68" s="238"/>
      <c r="D68" s="239"/>
      <c r="E68" s="216">
        <v>3070</v>
      </c>
      <c r="F68" s="217"/>
      <c r="G68" s="244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52"/>
      <c r="X68" s="252"/>
      <c r="Y68" s="252"/>
      <c r="Z68" s="252"/>
      <c r="AA68" s="252"/>
      <c r="AB68" s="252"/>
      <c r="AC68" s="284"/>
      <c r="AD68" s="284"/>
      <c r="AE68" s="284"/>
      <c r="AF68" s="285"/>
      <c r="AG68" s="251"/>
      <c r="AH68" s="252"/>
      <c r="AI68" s="252"/>
      <c r="AJ68" s="252"/>
      <c r="AK68" s="252"/>
      <c r="AL68" s="252"/>
      <c r="AM68" s="252"/>
      <c r="AN68" s="252"/>
      <c r="AO68" s="252"/>
      <c r="AP68" s="252"/>
      <c r="AQ68" s="252"/>
      <c r="AR68" s="252"/>
      <c r="AS68" s="252"/>
      <c r="AT68" s="252"/>
      <c r="AU68" s="252"/>
      <c r="AV68" s="252"/>
      <c r="AW68" s="253"/>
      <c r="AX68" s="216">
        <v>759</v>
      </c>
      <c r="AY68" s="217"/>
      <c r="AZ68" s="269"/>
      <c r="BA68" s="270"/>
      <c r="BB68" s="270"/>
      <c r="BC68" s="270"/>
      <c r="BD68" s="270"/>
      <c r="BE68" s="270"/>
      <c r="BF68" s="270"/>
      <c r="BG68" s="270"/>
      <c r="BH68" s="270"/>
      <c r="BI68" s="271"/>
    </row>
    <row r="69" spans="3:61" s="82" customFormat="1" ht="14.25" customHeight="1" thickBot="1">
      <c r="C69" s="238"/>
      <c r="D69" s="239"/>
      <c r="E69" s="216">
        <v>3071</v>
      </c>
      <c r="F69" s="217"/>
      <c r="G69" s="277"/>
      <c r="H69" s="278"/>
      <c r="I69" s="278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83"/>
      <c r="X69" s="283"/>
      <c r="Y69" s="283"/>
      <c r="Z69" s="283"/>
      <c r="AA69" s="283"/>
      <c r="AB69" s="283"/>
      <c r="AC69" s="226"/>
      <c r="AD69" s="226"/>
      <c r="AE69" s="226"/>
      <c r="AF69" s="286"/>
      <c r="AG69" s="254"/>
      <c r="AH69" s="255"/>
      <c r="AI69" s="255"/>
      <c r="AJ69" s="255"/>
      <c r="AK69" s="255"/>
      <c r="AL69" s="255"/>
      <c r="AM69" s="255"/>
      <c r="AN69" s="255"/>
      <c r="AO69" s="255"/>
      <c r="AP69" s="255"/>
      <c r="AQ69" s="255"/>
      <c r="AR69" s="255"/>
      <c r="AS69" s="255"/>
      <c r="AT69" s="255"/>
      <c r="AU69" s="255"/>
      <c r="AV69" s="255"/>
      <c r="AW69" s="256"/>
      <c r="AX69" s="216"/>
      <c r="AY69" s="217"/>
      <c r="AZ69" s="269"/>
      <c r="BA69" s="270"/>
      <c r="BB69" s="270"/>
      <c r="BC69" s="270"/>
      <c r="BD69" s="270"/>
      <c r="BE69" s="270"/>
      <c r="BF69" s="270"/>
      <c r="BG69" s="270"/>
      <c r="BH69" s="270"/>
      <c r="BI69" s="271"/>
    </row>
    <row r="70" spans="3:61" s="82" customFormat="1" ht="14.25" customHeight="1" thickBot="1">
      <c r="C70" s="240"/>
      <c r="D70" s="241"/>
      <c r="E70" s="115"/>
      <c r="F70" s="116"/>
      <c r="G70" s="117">
        <v>0</v>
      </c>
      <c r="H70" s="117">
        <v>1</v>
      </c>
      <c r="I70" s="117">
        <v>2</v>
      </c>
      <c r="J70" s="117">
        <v>3</v>
      </c>
      <c r="K70" s="117">
        <v>4</v>
      </c>
      <c r="L70" s="117">
        <v>5</v>
      </c>
      <c r="M70" s="117">
        <v>6</v>
      </c>
      <c r="N70" s="117">
        <v>7</v>
      </c>
      <c r="O70" s="117">
        <v>8</v>
      </c>
      <c r="P70" s="117">
        <v>9</v>
      </c>
      <c r="Q70" s="117">
        <v>10</v>
      </c>
      <c r="R70" s="117">
        <v>11</v>
      </c>
      <c r="S70" s="117">
        <v>12</v>
      </c>
      <c r="T70" s="117">
        <v>13</v>
      </c>
      <c r="U70" s="117">
        <v>14</v>
      </c>
      <c r="V70" s="117">
        <v>15</v>
      </c>
      <c r="W70" s="215" t="s">
        <v>138</v>
      </c>
      <c r="X70" s="215"/>
      <c r="Y70" s="215">
        <v>4094</v>
      </c>
      <c r="Z70" s="215"/>
      <c r="AA70" s="215">
        <v>4095</v>
      </c>
      <c r="AB70" s="215"/>
      <c r="AC70" s="117"/>
      <c r="AD70" s="117"/>
      <c r="AE70" s="117"/>
      <c r="AF70" s="118"/>
      <c r="AG70" s="119">
        <v>0</v>
      </c>
      <c r="AH70" s="119">
        <v>1</v>
      </c>
      <c r="AI70" s="119">
        <v>2</v>
      </c>
      <c r="AJ70" s="119">
        <v>3</v>
      </c>
      <c r="AK70" s="275" t="s">
        <v>138</v>
      </c>
      <c r="AL70" s="275"/>
      <c r="AM70" s="275"/>
      <c r="AN70" s="275"/>
      <c r="AO70" s="275"/>
      <c r="AP70" s="275"/>
      <c r="AQ70" s="276">
        <v>1014</v>
      </c>
      <c r="AR70" s="276"/>
      <c r="AS70" s="276">
        <v>1015</v>
      </c>
      <c r="AT70" s="276"/>
      <c r="AU70" s="119"/>
      <c r="AV70" s="119"/>
      <c r="AW70" s="119"/>
      <c r="AX70" s="119"/>
      <c r="AY70" s="120"/>
      <c r="AZ70" s="272"/>
      <c r="BA70" s="273"/>
      <c r="BB70" s="273"/>
      <c r="BC70" s="273"/>
      <c r="BD70" s="273"/>
      <c r="BE70" s="273"/>
      <c r="BF70" s="273"/>
      <c r="BG70" s="273"/>
      <c r="BH70" s="273"/>
      <c r="BI70" s="274"/>
    </row>
    <row r="71" spans="3:61" s="82" customFormat="1" ht="14.25" customHeight="1">
      <c r="C71" s="83"/>
      <c r="D71" s="83"/>
      <c r="E71" s="83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</row>
  </sheetData>
  <mergeCells count="161">
    <mergeCell ref="A1:N4"/>
    <mergeCell ref="F9:BI11"/>
    <mergeCell ref="BH12:BI12"/>
    <mergeCell ref="F22:BI24"/>
    <mergeCell ref="F25:AY26"/>
    <mergeCell ref="AZ25:BI27"/>
    <mergeCell ref="F27:AF27"/>
    <mergeCell ref="AG27:AY27"/>
    <mergeCell ref="BH16:BI16"/>
    <mergeCell ref="BH17:BI17"/>
    <mergeCell ref="AJ12:BG12"/>
    <mergeCell ref="BH13:BI13"/>
    <mergeCell ref="BH14:BI14"/>
    <mergeCell ref="BH15:BI15"/>
    <mergeCell ref="AJ13:BG13"/>
    <mergeCell ref="F14:AG14"/>
    <mergeCell ref="F15:AG15"/>
    <mergeCell ref="F16:AG16"/>
    <mergeCell ref="F17:AG17"/>
    <mergeCell ref="C28:D48"/>
    <mergeCell ref="E28:F28"/>
    <mergeCell ref="W28:X28"/>
    <mergeCell ref="Y28:Z28"/>
    <mergeCell ref="AA28:AB28"/>
    <mergeCell ref="AK28:AP28"/>
    <mergeCell ref="E33:F33"/>
    <mergeCell ref="AG33:AW34"/>
    <mergeCell ref="E37:F37"/>
    <mergeCell ref="AG37:AW38"/>
    <mergeCell ref="AQ28:AR28"/>
    <mergeCell ref="AS28:AT28"/>
    <mergeCell ref="E44:F44"/>
    <mergeCell ref="AZ28:BA31"/>
    <mergeCell ref="BB28:BE28"/>
    <mergeCell ref="BF28:BI28"/>
    <mergeCell ref="E29:F29"/>
    <mergeCell ref="W29:AB48"/>
    <mergeCell ref="AC29:AF48"/>
    <mergeCell ref="AG29:AW30"/>
    <mergeCell ref="AX29:AY30"/>
    <mergeCell ref="BB29:BC30"/>
    <mergeCell ref="BD29:BE30"/>
    <mergeCell ref="BF29:BG30"/>
    <mergeCell ref="BH29:BI30"/>
    <mergeCell ref="E30:F30"/>
    <mergeCell ref="E31:F31"/>
    <mergeCell ref="AU31:AW32"/>
    <mergeCell ref="AX31:AY32"/>
    <mergeCell ref="E32:F32"/>
    <mergeCell ref="AZ32:BA32"/>
    <mergeCell ref="AX33:AY34"/>
    <mergeCell ref="AZ33:BA33"/>
    <mergeCell ref="E34:F34"/>
    <mergeCell ref="AZ34:BA34"/>
    <mergeCell ref="E35:F35"/>
    <mergeCell ref="AU35:AW36"/>
    <mergeCell ref="AX47:AY48"/>
    <mergeCell ref="E48:F48"/>
    <mergeCell ref="E41:F41"/>
    <mergeCell ref="AG41:AW42"/>
    <mergeCell ref="AX41:AY42"/>
    <mergeCell ref="E42:F42"/>
    <mergeCell ref="E43:F43"/>
    <mergeCell ref="AU43:AW44"/>
    <mergeCell ref="AX43:AY44"/>
    <mergeCell ref="AX54:AY55"/>
    <mergeCell ref="AZ54:BA54"/>
    <mergeCell ref="E55:F55"/>
    <mergeCell ref="AZ55:BA55"/>
    <mergeCell ref="BB51:BC52"/>
    <mergeCell ref="BD51:BE52"/>
    <mergeCell ref="BF51:BG52"/>
    <mergeCell ref="BH51:BI52"/>
    <mergeCell ref="E52:F52"/>
    <mergeCell ref="AU52:AW53"/>
    <mergeCell ref="AX52:AY53"/>
    <mergeCell ref="E53:F53"/>
    <mergeCell ref="W50:AB69"/>
    <mergeCell ref="AC50:AF69"/>
    <mergeCell ref="AG50:AW51"/>
    <mergeCell ref="AZ50:BA53"/>
    <mergeCell ref="BB50:BE50"/>
    <mergeCell ref="BF50:BI50"/>
    <mergeCell ref="E51:F51"/>
    <mergeCell ref="AX58:AY59"/>
    <mergeCell ref="AZ58:BA58"/>
    <mergeCell ref="E59:F59"/>
    <mergeCell ref="AZ59:BA59"/>
    <mergeCell ref="E56:F56"/>
    <mergeCell ref="AX60:AY61"/>
    <mergeCell ref="AZ60:BA60"/>
    <mergeCell ref="E61:F61"/>
    <mergeCell ref="AZ61:BA61"/>
    <mergeCell ref="AK70:AP70"/>
    <mergeCell ref="AQ70:AR70"/>
    <mergeCell ref="AS70:AT70"/>
    <mergeCell ref="G66:V69"/>
    <mergeCell ref="AG66:AW69"/>
    <mergeCell ref="AX66:AY67"/>
    <mergeCell ref="AX68:AY69"/>
    <mergeCell ref="C50:D70"/>
    <mergeCell ref="E50:F50"/>
    <mergeCell ref="E45:F46"/>
    <mergeCell ref="G45:V48"/>
    <mergeCell ref="AG45:AW48"/>
    <mergeCell ref="AX45:AY46"/>
    <mergeCell ref="AJ14:BG14"/>
    <mergeCell ref="AJ15:BG15"/>
    <mergeCell ref="AJ16:BG16"/>
    <mergeCell ref="AJ17:BG17"/>
    <mergeCell ref="F18:BI19"/>
    <mergeCell ref="W70:X70"/>
    <mergeCell ref="AX56:AY57"/>
    <mergeCell ref="Y70:Z70"/>
    <mergeCell ref="AZ56:BA56"/>
    <mergeCell ref="E57:F57"/>
    <mergeCell ref="AZ57:BA57"/>
    <mergeCell ref="AX62:AY63"/>
    <mergeCell ref="AZ62:BI70"/>
    <mergeCell ref="E63:F63"/>
    <mergeCell ref="E64:F64"/>
    <mergeCell ref="AU64:AW65"/>
    <mergeCell ref="AX64:AY65"/>
    <mergeCell ref="E65:F65"/>
    <mergeCell ref="AH12:AI12"/>
    <mergeCell ref="AH13:AI13"/>
    <mergeCell ref="AH14:AI14"/>
    <mergeCell ref="AH15:AI15"/>
    <mergeCell ref="AH16:AI16"/>
    <mergeCell ref="AH17:AI17"/>
    <mergeCell ref="F12:AG12"/>
    <mergeCell ref="F13:AG13"/>
    <mergeCell ref="C49:BI49"/>
    <mergeCell ref="AX35:AY36"/>
    <mergeCell ref="AZ35:BA35"/>
    <mergeCell ref="E36:F36"/>
    <mergeCell ref="AZ36:BA36"/>
    <mergeCell ref="AX37:AY38"/>
    <mergeCell ref="AZ37:BA37"/>
    <mergeCell ref="E38:F38"/>
    <mergeCell ref="AZ38:BA38"/>
    <mergeCell ref="E39:F39"/>
    <mergeCell ref="AU39:AW40"/>
    <mergeCell ref="AX39:AY40"/>
    <mergeCell ref="AZ39:BA39"/>
    <mergeCell ref="E40:F40"/>
    <mergeCell ref="AZ40:BI48"/>
    <mergeCell ref="E47:F47"/>
    <mergeCell ref="AA70:AB70"/>
    <mergeCell ref="E62:F62"/>
    <mergeCell ref="AG62:AW63"/>
    <mergeCell ref="E58:F58"/>
    <mergeCell ref="AG58:AW59"/>
    <mergeCell ref="E54:F54"/>
    <mergeCell ref="AG54:AW55"/>
    <mergeCell ref="AU56:AW57"/>
    <mergeCell ref="E68:F68"/>
    <mergeCell ref="E69:F69"/>
    <mergeCell ref="E66:F67"/>
    <mergeCell ref="E60:F60"/>
    <mergeCell ref="AU60:AW6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L18" sqref="L18"/>
    </sheetView>
  </sheetViews>
  <sheetFormatPr defaultRowHeight="14.25"/>
  <cols>
    <col min="1" max="3" width="11.75" style="5" customWidth="1"/>
    <col min="4" max="16384" width="9" style="5"/>
  </cols>
  <sheetData>
    <row r="1" spans="1:3" ht="30.75" customHeight="1">
      <c r="A1" s="361" t="s">
        <v>282</v>
      </c>
      <c r="B1" s="361"/>
      <c r="C1" s="361"/>
    </row>
  </sheetData>
  <mergeCells count="1">
    <mergeCell ref="A1:C1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M17" sqref="M17"/>
    </sheetView>
  </sheetViews>
  <sheetFormatPr defaultRowHeight="14.25"/>
  <cols>
    <col min="1" max="4" width="11.75" style="5" customWidth="1"/>
    <col min="5" max="16384" width="9" style="5"/>
  </cols>
  <sheetData>
    <row r="1" spans="1:4" ht="30" customHeight="1">
      <c r="A1" s="362" t="s">
        <v>283</v>
      </c>
      <c r="B1" s="362"/>
      <c r="C1" s="362"/>
      <c r="D1" s="362"/>
    </row>
  </sheetData>
  <mergeCells count="1">
    <mergeCell ref="A1:D1"/>
  </mergeCells>
  <phoneticPr fontId="4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selection activeCell="U82" sqref="U82"/>
    </sheetView>
  </sheetViews>
  <sheetFormatPr defaultRowHeight="14.25"/>
  <cols>
    <col min="1" max="4" width="9.875" style="5" customWidth="1"/>
    <col min="5" max="16384" width="9" style="5"/>
  </cols>
  <sheetData>
    <row r="1" spans="1:4" ht="30.75" customHeight="1">
      <c r="A1" s="363" t="s">
        <v>284</v>
      </c>
      <c r="B1" s="363"/>
      <c r="C1" s="363"/>
      <c r="D1" s="363"/>
    </row>
    <row r="37" spans="1:4" ht="23.25">
      <c r="A37" s="363" t="s">
        <v>285</v>
      </c>
      <c r="B37" s="363"/>
      <c r="C37" s="363"/>
      <c r="D37" s="363"/>
    </row>
    <row r="67" spans="1:4" ht="23.25">
      <c r="A67" s="363" t="s">
        <v>286</v>
      </c>
      <c r="B67" s="363"/>
      <c r="C67" s="363"/>
      <c r="D67" s="363"/>
    </row>
  </sheetData>
  <mergeCells count="3">
    <mergeCell ref="A1:D1"/>
    <mergeCell ref="A37:D37"/>
    <mergeCell ref="A67:D67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version</vt:lpstr>
      <vt:lpstr>overview</vt:lpstr>
      <vt:lpstr>Mode List</vt:lpstr>
      <vt:lpstr>Gain</vt:lpstr>
      <vt:lpstr>Exposure</vt:lpstr>
      <vt:lpstr>MIPI</vt:lpstr>
      <vt:lpstr>Mirror &amp; Flip</vt:lpstr>
      <vt:lpstr>Dual</vt:lpstr>
      <vt:lpstr>PD control</vt:lpstr>
      <vt:lpstr>PD map</vt:lpstr>
      <vt:lpstr>Power consumption</vt:lpstr>
      <vt:lpstr>MCLK</vt:lpstr>
      <vt:lpstr>Power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2023-03-29T01:50:07Z</dcterms:modified>
</cp:coreProperties>
</file>