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oppo\ov50e\OPPO OV50E On On  24MHz -20250205\"/>
    </mc:Choice>
  </mc:AlternateContent>
  <xr:revisionPtr revIDLastSave="0" documentId="13_ncr:1_{9CAE59DD-5180-4C7E-90BC-FB4B6CDBB8F6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6" i="1"/>
  <c r="L17" i="1"/>
  <c r="L18" i="1"/>
  <c r="L19" i="1"/>
  <c r="L20" i="1"/>
  <c r="E18" i="1"/>
  <c r="K18" i="1"/>
  <c r="O18" i="1"/>
  <c r="D18" i="1"/>
  <c r="N18" i="1"/>
  <c r="K26" i="1"/>
  <c r="U26" i="1"/>
  <c r="L26" i="1"/>
  <c r="D26" i="1"/>
  <c r="K17" i="1"/>
  <c r="E17" i="1"/>
  <c r="O17" i="1"/>
  <c r="D17" i="1"/>
  <c r="L21" i="1"/>
  <c r="K7" i="1"/>
  <c r="K8" i="1"/>
  <c r="K9" i="1"/>
  <c r="K10" i="1"/>
  <c r="K11" i="1"/>
  <c r="K12" i="1"/>
  <c r="K13" i="1"/>
  <c r="K14" i="1"/>
  <c r="K15" i="1"/>
  <c r="K16" i="1"/>
  <c r="K19" i="1"/>
  <c r="K20" i="1"/>
  <c r="K21" i="1"/>
  <c r="K22" i="1"/>
  <c r="K23" i="1"/>
  <c r="K24" i="1"/>
  <c r="K25" i="1"/>
  <c r="N17" i="1"/>
  <c r="U25" i="1"/>
  <c r="L25" i="1"/>
  <c r="D25" i="1"/>
  <c r="D20" i="1"/>
  <c r="E20" i="1"/>
  <c r="D21" i="1"/>
  <c r="N21" i="1"/>
  <c r="E21" i="1"/>
  <c r="O21" i="1"/>
  <c r="D22" i="1"/>
  <c r="T22" i="1"/>
  <c r="L22" i="1"/>
  <c r="U22" i="1"/>
  <c r="D23" i="1"/>
  <c r="T23" i="1"/>
  <c r="L23" i="1"/>
  <c r="U23" i="1"/>
  <c r="D24" i="1"/>
  <c r="T24" i="1"/>
  <c r="L24" i="1"/>
  <c r="U24" i="1"/>
  <c r="E16" i="1"/>
  <c r="N15" i="1"/>
  <c r="O15" i="1"/>
  <c r="E12" i="1"/>
  <c r="E11" i="1"/>
  <c r="O11" i="1"/>
  <c r="E10" i="1"/>
  <c r="E9" i="1"/>
  <c r="O9" i="1"/>
  <c r="E8" i="1"/>
  <c r="E7" i="1"/>
  <c r="O7" i="1"/>
  <c r="E14" i="1"/>
  <c r="E19" i="1"/>
  <c r="E13" i="1"/>
  <c r="D8" i="1"/>
  <c r="D9" i="1"/>
  <c r="N9" i="1"/>
  <c r="D10" i="1"/>
  <c r="D11" i="1"/>
  <c r="N11" i="1"/>
  <c r="D12" i="1"/>
  <c r="D13" i="1"/>
  <c r="D14" i="1"/>
  <c r="D16" i="1"/>
  <c r="D19" i="1"/>
  <c r="D7" i="1"/>
  <c r="L15" i="1"/>
  <c r="L14" i="1"/>
  <c r="L13" i="1"/>
  <c r="L12" i="1"/>
  <c r="L10" i="1"/>
  <c r="L9" i="1"/>
  <c r="L8" i="1"/>
  <c r="L7" i="1"/>
  <c r="N22" i="1"/>
  <c r="N10" i="1"/>
  <c r="N13" i="1"/>
  <c r="O10" i="1"/>
  <c r="O22" i="1"/>
  <c r="N20" i="1"/>
  <c r="O8" i="1"/>
  <c r="O12" i="1"/>
  <c r="O19" i="1"/>
  <c r="N14" i="1"/>
  <c r="N16" i="1"/>
  <c r="N23" i="1"/>
  <c r="N8" i="1"/>
  <c r="O13" i="1"/>
  <c r="N7" i="1"/>
  <c r="N19" i="1"/>
  <c r="N12" i="1"/>
  <c r="O20" i="1"/>
  <c r="O14" i="1"/>
  <c r="O23" i="1"/>
  <c r="O16" i="1"/>
</calcChain>
</file>

<file path=xl/sharedStrings.xml><?xml version="1.0" encoding="utf-8"?>
<sst xmlns="http://schemas.openxmlformats.org/spreadsheetml/2006/main" count="189" uniqueCount="58">
  <si>
    <t>OutputInfo</t>
    <phoneticPr fontId="1" type="noConversion"/>
  </si>
  <si>
    <t>Mode</t>
    <phoneticPr fontId="1" type="noConversion"/>
  </si>
  <si>
    <t>resolution</t>
    <phoneticPr fontId="1" type="noConversion"/>
  </si>
  <si>
    <t>Mclk
(MHz)</t>
    <phoneticPr fontId="1" type="noConversion"/>
  </si>
  <si>
    <t>SA1_clk
(MHz)</t>
    <phoneticPr fontId="1" type="noConversion"/>
  </si>
  <si>
    <t>HTS</t>
    <phoneticPr fontId="1" type="noConversion"/>
  </si>
  <si>
    <t>VTS</t>
    <phoneticPr fontId="1" type="noConversion"/>
  </si>
  <si>
    <t>Tline
(us)</t>
    <phoneticPr fontId="1" type="noConversion"/>
  </si>
  <si>
    <t>Frame
Rate</t>
    <phoneticPr fontId="1" type="noConversion"/>
  </si>
  <si>
    <t>Blanking</t>
    <phoneticPr fontId="1" type="noConversion"/>
  </si>
  <si>
    <t>MIPI</t>
    <phoneticPr fontId="1" type="noConversion"/>
  </si>
  <si>
    <t>PDAF</t>
    <phoneticPr fontId="1" type="noConversion"/>
  </si>
  <si>
    <t>Orientation</t>
    <phoneticPr fontId="1" type="noConversion"/>
  </si>
  <si>
    <t>Bayer
pattern</t>
    <phoneticPr fontId="1" type="noConversion"/>
  </si>
  <si>
    <t>H-blank
(us)</t>
    <phoneticPr fontId="1" type="noConversion"/>
  </si>
  <si>
    <t>V-blank
(ms)</t>
    <phoneticPr fontId="1" type="noConversion"/>
  </si>
  <si>
    <t>C-phy/D-phy</t>
    <phoneticPr fontId="1" type="noConversion"/>
  </si>
  <si>
    <t>LaneNum
TriNum</t>
    <phoneticPr fontId="1" type="noConversion"/>
  </si>
  <si>
    <t>PDAF support
yes/no</t>
    <phoneticPr fontId="1" type="noConversion"/>
  </si>
  <si>
    <t>PD
data</t>
    <phoneticPr fontId="1" type="noConversion"/>
  </si>
  <si>
    <t>PD
package</t>
    <phoneticPr fontId="1" type="noConversion"/>
  </si>
  <si>
    <t>mirror</t>
    <phoneticPr fontId="1" type="noConversion"/>
  </si>
  <si>
    <t>flip</t>
    <phoneticPr fontId="1" type="noConversion"/>
  </si>
  <si>
    <t>mode</t>
  </si>
  <si>
    <t>4096x3072</t>
  </si>
  <si>
    <t>1/2binning</t>
  </si>
  <si>
    <t>CPHY</t>
  </si>
  <si>
    <t>yes</t>
  </si>
  <si>
    <t>4096x2304</t>
  </si>
  <si>
    <t>1/2binning+crop</t>
  </si>
  <si>
    <t>2048x1152</t>
  </si>
  <si>
    <t>1/4binning+crop</t>
  </si>
  <si>
    <t>1/4binning+crop/4c1</t>
  </si>
  <si>
    <t>no</t>
  </si>
  <si>
    <t>8196x6144</t>
  </si>
  <si>
    <t>full(RM on)</t>
  </si>
  <si>
    <t>full crop(RM on)</t>
  </si>
  <si>
    <r>
      <rPr>
        <strike/>
        <sz val="11"/>
        <color theme="1"/>
        <rFont val="Arial"/>
        <family val="2"/>
      </rPr>
      <t>1296x736</t>
    </r>
    <r>
      <rPr>
        <sz val="11"/>
        <color rgb="FFFF0000"/>
        <rFont val="Arial"/>
        <family val="2"/>
      </rPr>
      <t>1088x612</t>
    </r>
  </si>
  <si>
    <t>1776x1332</t>
  </si>
  <si>
    <t>full crop (RM on)</t>
  </si>
  <si>
    <t>AGAIN_MAX</t>
    <phoneticPr fontId="1" type="noConversion"/>
  </si>
  <si>
    <t>64X</t>
    <phoneticPr fontId="1" type="noConversion"/>
  </si>
  <si>
    <t>16X</t>
    <phoneticPr fontId="1" type="noConversion"/>
  </si>
  <si>
    <t>Y_out</t>
    <phoneticPr fontId="1" type="noConversion"/>
  </si>
  <si>
    <t>X_out</t>
    <phoneticPr fontId="1" type="noConversion"/>
  </si>
  <si>
    <t>MIPI speed
(Gsps)</t>
    <phoneticPr fontId="1" type="noConversion"/>
  </si>
  <si>
    <t>4096x2048</t>
    <phoneticPr fontId="7" type="noConversion"/>
  </si>
  <si>
    <r>
      <rPr>
        <strike/>
        <sz val="11"/>
        <color rgb="FFFF0000"/>
        <rFont val="Arial"/>
        <family val="2"/>
      </rPr>
      <t>1/4binning+crop</t>
    </r>
    <r>
      <rPr>
        <sz val="11"/>
        <color theme="1"/>
        <rFont val="Arial"/>
        <family val="2"/>
      </rPr>
      <t>(1/2binning+crop)</t>
    </r>
    <phoneticPr fontId="7" type="noConversion"/>
  </si>
  <si>
    <t>4096x2304</t>
    <phoneticPr fontId="7" type="noConversion"/>
  </si>
  <si>
    <r>
      <t xml:space="preserve">DCG  </t>
    </r>
    <r>
      <rPr>
        <sz val="11"/>
        <color theme="1"/>
        <rFont val="宋体"/>
        <family val="2"/>
        <charset val="134"/>
      </rPr>
      <t>平台</t>
    </r>
    <r>
      <rPr>
        <sz val="11"/>
        <color theme="1"/>
        <rFont val="Arial"/>
        <family val="2"/>
      </rPr>
      <t>merge</t>
    </r>
    <r>
      <rPr>
        <sz val="11"/>
        <color rgb="FFFF0000"/>
        <rFont val="Arial"/>
        <family val="2"/>
      </rPr>
      <t>(HCG/LCG 10bit)</t>
    </r>
    <phoneticPr fontId="7" type="noConversion"/>
  </si>
  <si>
    <t>4096x3072</t>
    <phoneticPr fontId="7" type="noConversion"/>
  </si>
  <si>
    <r>
      <t>2dol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Arial"/>
        <family val="2"/>
      </rPr>
      <t>2 stagger HDR)</t>
    </r>
    <phoneticPr fontId="7" type="noConversion"/>
  </si>
  <si>
    <t>RGGB</t>
    <phoneticPr fontId="1" type="noConversion"/>
  </si>
  <si>
    <t>ON</t>
    <phoneticPr fontId="1" type="noConversion"/>
  </si>
  <si>
    <r>
      <t>full crop (</t>
    </r>
    <r>
      <rPr>
        <sz val="11"/>
        <color rgb="FFFF0000"/>
        <rFont val="Arial"/>
        <family val="2"/>
      </rPr>
      <t>RM off</t>
    </r>
    <r>
      <rPr>
        <sz val="11"/>
        <color theme="1"/>
        <rFont val="Arial"/>
        <family val="2"/>
      </rPr>
      <t>)</t>
    </r>
    <phoneticPr fontId="1" type="noConversion"/>
  </si>
  <si>
    <r>
      <t>full crop(</t>
    </r>
    <r>
      <rPr>
        <sz val="11"/>
        <color rgb="FFFF0000"/>
        <rFont val="Arial"/>
        <family val="2"/>
      </rPr>
      <t>RM off</t>
    </r>
    <r>
      <rPr>
        <sz val="11"/>
        <color theme="1"/>
        <rFont val="Arial"/>
        <family val="2"/>
      </rPr>
      <t>)+2dol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Arial"/>
        <family val="2"/>
      </rPr>
      <t>2 stagger HDR)</t>
    </r>
    <phoneticPr fontId="7" type="noConversion"/>
  </si>
  <si>
    <t>11-a</t>
    <phoneticPr fontId="1" type="noConversion"/>
  </si>
  <si>
    <t>1/2binning+crop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</si>
</sst>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1"/>
      <color rgb="FFFF0000"/>
      <name val="Arial"/>
      <family val="2"/>
    </font>
    <font>
      <strike/>
      <sz val="11"/>
      <color theme="1"/>
      <name val="Arial"/>
      <family val="2"/>
    </font>
    <font>
      <sz val="9"/>
      <name val="等线"/>
      <family val="3"/>
      <charset val="134"/>
      <scheme val="minor"/>
    </font>
    <font>
      <strike/>
      <sz val="11"/>
      <color rgb="FFFF0000"/>
      <name val="Arial"/>
      <family val="2"/>
    </font>
    <font>
      <sz val="11"/>
      <color theme="1"/>
      <name val="宋体"/>
      <family val="2"/>
      <charset val="134"/>
    </font>
    <font>
      <sz val="11"/>
      <color rgb="FFFF0000"/>
      <name val="宋体"/>
      <family val="3"/>
      <charset val="134"/>
    </font>
    <font>
      <sz val="11"/>
      <color rgb="FFFF0000"/>
      <name val="等线"/>
      <family val="2"/>
      <charset val="134"/>
      <scheme val="minor"/>
    </font>
    <font>
      <strike/>
      <sz val="11"/>
      <color theme="1"/>
      <name val="微软雅黑"/>
      <family val="2"/>
      <charset val="134"/>
    </font>
    <font>
      <strike/>
      <sz val="11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12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3" borderId="1" xfId="0" applyFont="1" applyFill="1" applyBorder="1">
      <alignment vertical="center"/>
    </xf>
    <xf numFmtId="0" fontId="13" fillId="3" borderId="3" xfId="0" applyFont="1" applyFill="1" applyBorder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52"/>
  <sheetViews>
    <sheetView tabSelected="1" zoomScaleNormal="100" workbookViewId="0">
      <selection activeCell="H34" sqref="H34"/>
    </sheetView>
  </sheetViews>
  <sheetFormatPr defaultRowHeight="13.8" x14ac:dyDescent="0.25"/>
  <cols>
    <col min="3" max="3" width="18.21875" customWidth="1"/>
    <col min="4" max="4" width="8.77734375" customWidth="1"/>
    <col min="5" max="5" width="9.5546875" customWidth="1"/>
    <col min="6" max="6" width="27.77734375" customWidth="1"/>
    <col min="7" max="7" width="14" customWidth="1"/>
    <col min="8" max="8" width="11.109375" customWidth="1"/>
    <col min="9" max="9" width="10.33203125" customWidth="1"/>
    <col min="10" max="10" width="16.6640625" customWidth="1"/>
    <col min="11" max="11" width="12.21875" customWidth="1"/>
    <col min="12" max="12" width="8.88671875" customWidth="1"/>
    <col min="14" max="14" width="9.109375" bestFit="1" customWidth="1"/>
    <col min="17" max="17" width="8.44140625" customWidth="1"/>
    <col min="18" max="18" width="8.77734375" customWidth="1"/>
    <col min="19" max="19" width="7.44140625" customWidth="1"/>
    <col min="20" max="20" width="6.77734375" customWidth="1"/>
    <col min="21" max="21" width="5.88671875" customWidth="1"/>
    <col min="24" max="24" width="6.44140625" customWidth="1"/>
  </cols>
  <sheetData>
    <row r="3" spans="2:24" x14ac:dyDescent="0.25">
      <c r="B3" t="s">
        <v>0</v>
      </c>
    </row>
    <row r="4" spans="2:24" ht="14.4" thickBot="1" x14ac:dyDescent="0.3"/>
    <row r="5" spans="2:24" ht="13.95" customHeight="1" x14ac:dyDescent="0.25">
      <c r="B5" s="38" t="s">
        <v>1</v>
      </c>
      <c r="C5" s="34" t="s">
        <v>2</v>
      </c>
      <c r="D5" s="34" t="s">
        <v>44</v>
      </c>
      <c r="E5" s="34" t="s">
        <v>43</v>
      </c>
      <c r="F5" s="41" t="s">
        <v>23</v>
      </c>
      <c r="G5" s="35" t="s">
        <v>3</v>
      </c>
      <c r="H5" s="35" t="s">
        <v>4</v>
      </c>
      <c r="I5" s="34" t="s">
        <v>5</v>
      </c>
      <c r="J5" s="34" t="s">
        <v>6</v>
      </c>
      <c r="K5" s="21" t="s">
        <v>7</v>
      </c>
      <c r="L5" s="35" t="s">
        <v>8</v>
      </c>
      <c r="M5" s="35" t="s">
        <v>40</v>
      </c>
      <c r="N5" s="34" t="s">
        <v>9</v>
      </c>
      <c r="O5" s="34"/>
      <c r="P5" s="34" t="s">
        <v>10</v>
      </c>
      <c r="Q5" s="34"/>
      <c r="R5" s="34"/>
      <c r="S5" s="34" t="s">
        <v>11</v>
      </c>
      <c r="T5" s="34"/>
      <c r="U5" s="34"/>
      <c r="V5" s="37" t="s">
        <v>12</v>
      </c>
      <c r="W5" s="37"/>
      <c r="X5" s="32" t="s">
        <v>13</v>
      </c>
    </row>
    <row r="6" spans="2:24" ht="41.4" x14ac:dyDescent="0.25">
      <c r="B6" s="39"/>
      <c r="C6" s="40"/>
      <c r="D6" s="40"/>
      <c r="E6" s="40"/>
      <c r="F6" s="42"/>
      <c r="G6" s="40"/>
      <c r="H6" s="40"/>
      <c r="I6" s="40"/>
      <c r="J6" s="40"/>
      <c r="K6" s="17"/>
      <c r="L6" s="36"/>
      <c r="M6" s="36"/>
      <c r="N6" s="16" t="s">
        <v>14</v>
      </c>
      <c r="O6" s="16" t="s">
        <v>15</v>
      </c>
      <c r="P6" s="17" t="s">
        <v>16</v>
      </c>
      <c r="Q6" s="16" t="s">
        <v>17</v>
      </c>
      <c r="R6" s="16" t="s">
        <v>45</v>
      </c>
      <c r="S6" s="16" t="s">
        <v>18</v>
      </c>
      <c r="T6" s="16" t="s">
        <v>19</v>
      </c>
      <c r="U6" s="16" t="s">
        <v>20</v>
      </c>
      <c r="V6" s="13" t="s">
        <v>21</v>
      </c>
      <c r="W6" s="13" t="s">
        <v>22</v>
      </c>
      <c r="X6" s="33"/>
    </row>
    <row r="7" spans="2:24" ht="15.6" x14ac:dyDescent="0.25">
      <c r="B7" s="1">
        <v>0</v>
      </c>
      <c r="C7" s="7" t="s">
        <v>24</v>
      </c>
      <c r="D7" s="7" t="str">
        <f>LEFT(C7,4)</f>
        <v>4096</v>
      </c>
      <c r="E7" s="7" t="str">
        <f>RIGHT(C7,4)</f>
        <v>3072</v>
      </c>
      <c r="F7" s="7" t="s">
        <v>25</v>
      </c>
      <c r="G7" s="9">
        <v>24</v>
      </c>
      <c r="H7" s="17">
        <v>75</v>
      </c>
      <c r="I7" s="17">
        <v>400</v>
      </c>
      <c r="J7" s="17">
        <v>6248</v>
      </c>
      <c r="K7" s="17">
        <f t="shared" ref="K7:K19" si="0">ROUND(I7/H7,3)</f>
        <v>5.3330000000000002</v>
      </c>
      <c r="L7" s="2">
        <f>ROUND(H7*10^6/I7/J7,2)</f>
        <v>30.01</v>
      </c>
      <c r="M7" s="2" t="s">
        <v>41</v>
      </c>
      <c r="N7" s="3">
        <f t="shared" ref="N7:N23" si="1">ROUND(K7-(D7*10)/(Q7*R7*1000*16/7),3)</f>
        <v>2.8439999999999999</v>
      </c>
      <c r="O7" s="3">
        <f t="shared" ref="O7:O16" si="2">ROUND((J7-E7)*K7/1000,3)</f>
        <v>16.937999999999999</v>
      </c>
      <c r="P7" s="2" t="s">
        <v>26</v>
      </c>
      <c r="Q7" s="17">
        <v>3</v>
      </c>
      <c r="R7" s="9">
        <v>2.4</v>
      </c>
      <c r="S7" s="2" t="s">
        <v>27</v>
      </c>
      <c r="T7" s="17">
        <v>4096</v>
      </c>
      <c r="U7" s="17">
        <v>768</v>
      </c>
      <c r="V7" s="14" t="s">
        <v>53</v>
      </c>
      <c r="W7" s="14" t="s">
        <v>53</v>
      </c>
      <c r="X7" s="15" t="s">
        <v>52</v>
      </c>
    </row>
    <row r="8" spans="2:24" ht="15.6" x14ac:dyDescent="0.25">
      <c r="B8" s="1">
        <v>2</v>
      </c>
      <c r="C8" s="7" t="s">
        <v>28</v>
      </c>
      <c r="D8" s="7" t="str">
        <f t="shared" ref="D8:D19" si="3">LEFT(C8,4)</f>
        <v>4096</v>
      </c>
      <c r="E8" s="7" t="str">
        <f t="shared" ref="E8:E19" si="4">RIGHT(C8,4)</f>
        <v>2304</v>
      </c>
      <c r="F8" s="7" t="s">
        <v>29</v>
      </c>
      <c r="G8" s="9">
        <v>24</v>
      </c>
      <c r="H8" s="17">
        <v>75</v>
      </c>
      <c r="I8" s="17">
        <v>400</v>
      </c>
      <c r="J8" s="17">
        <v>6248</v>
      </c>
      <c r="K8" s="17">
        <f t="shared" si="0"/>
        <v>5.3330000000000002</v>
      </c>
      <c r="L8" s="2">
        <f>ROUND(H8*10^6/I8/J8,2)</f>
        <v>30.01</v>
      </c>
      <c r="M8" s="2" t="s">
        <v>41</v>
      </c>
      <c r="N8" s="3">
        <f t="shared" si="1"/>
        <v>2.8439999999999999</v>
      </c>
      <c r="O8" s="3">
        <f t="shared" si="2"/>
        <v>21.033000000000001</v>
      </c>
      <c r="P8" s="2" t="s">
        <v>26</v>
      </c>
      <c r="Q8" s="17">
        <v>3</v>
      </c>
      <c r="R8" s="9">
        <v>2.4</v>
      </c>
      <c r="S8" s="2" t="s">
        <v>27</v>
      </c>
      <c r="T8" s="17">
        <v>4096</v>
      </c>
      <c r="U8" s="17">
        <v>576</v>
      </c>
      <c r="V8" s="14" t="s">
        <v>53</v>
      </c>
      <c r="W8" s="14" t="s">
        <v>53</v>
      </c>
      <c r="X8" s="15" t="s">
        <v>52</v>
      </c>
    </row>
    <row r="9" spans="2:24" ht="15.6" x14ac:dyDescent="0.25">
      <c r="B9" s="1">
        <v>3</v>
      </c>
      <c r="C9" s="7" t="s">
        <v>28</v>
      </c>
      <c r="D9" s="7" t="str">
        <f t="shared" si="3"/>
        <v>4096</v>
      </c>
      <c r="E9" s="7" t="str">
        <f t="shared" si="4"/>
        <v>2304</v>
      </c>
      <c r="F9" s="7" t="s">
        <v>29</v>
      </c>
      <c r="G9" s="9">
        <v>24</v>
      </c>
      <c r="H9" s="17">
        <v>75</v>
      </c>
      <c r="I9" s="17">
        <v>400</v>
      </c>
      <c r="J9" s="17">
        <v>3124</v>
      </c>
      <c r="K9" s="17">
        <f t="shared" si="0"/>
        <v>5.3330000000000002</v>
      </c>
      <c r="L9" s="2">
        <f>ROUND(H9*10^6/I9/J9,2)</f>
        <v>60.02</v>
      </c>
      <c r="M9" s="2" t="s">
        <v>41</v>
      </c>
      <c r="N9" s="3">
        <f t="shared" si="1"/>
        <v>2.8439999999999999</v>
      </c>
      <c r="O9" s="3">
        <f t="shared" si="2"/>
        <v>4.3730000000000002</v>
      </c>
      <c r="P9" s="2" t="s">
        <v>26</v>
      </c>
      <c r="Q9" s="17">
        <v>3</v>
      </c>
      <c r="R9" s="9">
        <v>2.4</v>
      </c>
      <c r="S9" s="2" t="s">
        <v>27</v>
      </c>
      <c r="T9" s="17">
        <v>4096</v>
      </c>
      <c r="U9" s="17">
        <v>576</v>
      </c>
      <c r="V9" s="14" t="s">
        <v>53</v>
      </c>
      <c r="W9" s="14" t="s">
        <v>53</v>
      </c>
      <c r="X9" s="15" t="s">
        <v>52</v>
      </c>
    </row>
    <row r="10" spans="2:24" ht="15.6" x14ac:dyDescent="0.25">
      <c r="B10" s="1">
        <v>4</v>
      </c>
      <c r="C10" s="7" t="s">
        <v>30</v>
      </c>
      <c r="D10" s="7" t="str">
        <f t="shared" si="3"/>
        <v>2048</v>
      </c>
      <c r="E10" s="7" t="str">
        <f t="shared" si="4"/>
        <v>1152</v>
      </c>
      <c r="F10" s="7" t="s">
        <v>31</v>
      </c>
      <c r="G10" s="9">
        <v>24</v>
      </c>
      <c r="H10" s="17">
        <v>75</v>
      </c>
      <c r="I10" s="17">
        <v>400</v>
      </c>
      <c r="J10" s="17">
        <v>1562</v>
      </c>
      <c r="K10" s="17">
        <f t="shared" si="0"/>
        <v>5.3330000000000002</v>
      </c>
      <c r="L10" s="2">
        <f>ROUND(H10*10^6/I10/J10,2)</f>
        <v>120.04</v>
      </c>
      <c r="M10" s="2" t="s">
        <v>41</v>
      </c>
      <c r="N10" s="3">
        <f t="shared" si="1"/>
        <v>4.0890000000000004</v>
      </c>
      <c r="O10" s="3">
        <f t="shared" si="2"/>
        <v>2.1869999999999998</v>
      </c>
      <c r="P10" s="2" t="s">
        <v>26</v>
      </c>
      <c r="Q10" s="17">
        <v>3</v>
      </c>
      <c r="R10" s="9">
        <v>2.4</v>
      </c>
      <c r="S10" s="2" t="s">
        <v>27</v>
      </c>
      <c r="T10" s="17">
        <v>2048</v>
      </c>
      <c r="U10" s="17">
        <v>576</v>
      </c>
      <c r="V10" s="14" t="s">
        <v>53</v>
      </c>
      <c r="W10" s="14" t="s">
        <v>53</v>
      </c>
      <c r="X10" s="15" t="s">
        <v>52</v>
      </c>
    </row>
    <row r="11" spans="2:24" ht="15.6" x14ac:dyDescent="0.25">
      <c r="B11" s="4">
        <v>5</v>
      </c>
      <c r="C11" s="8" t="s">
        <v>30</v>
      </c>
      <c r="D11" s="7" t="str">
        <f t="shared" si="3"/>
        <v>2048</v>
      </c>
      <c r="E11" s="7" t="str">
        <f t="shared" si="4"/>
        <v>1152</v>
      </c>
      <c r="F11" s="8" t="s">
        <v>32</v>
      </c>
      <c r="G11" s="10">
        <v>24</v>
      </c>
      <c r="H11" s="17">
        <v>75</v>
      </c>
      <c r="I11" s="17">
        <v>237</v>
      </c>
      <c r="J11" s="17">
        <v>1318</v>
      </c>
      <c r="K11" s="17">
        <f t="shared" si="0"/>
        <v>3.16</v>
      </c>
      <c r="L11" s="5">
        <f>ROUND(H11*10^6/I11/J11,2)</f>
        <v>240.1</v>
      </c>
      <c r="M11" s="2" t="s">
        <v>41</v>
      </c>
      <c r="N11" s="3">
        <f t="shared" si="1"/>
        <v>1.9159999999999999</v>
      </c>
      <c r="O11" s="3">
        <f t="shared" si="2"/>
        <v>0.52500000000000002</v>
      </c>
      <c r="P11" s="5" t="s">
        <v>26</v>
      </c>
      <c r="Q11" s="17">
        <v>3</v>
      </c>
      <c r="R11" s="9">
        <v>2.4</v>
      </c>
      <c r="S11" s="6" t="s">
        <v>33</v>
      </c>
      <c r="T11" s="17"/>
      <c r="U11" s="17"/>
      <c r="V11" s="14" t="s">
        <v>53</v>
      </c>
      <c r="W11" s="14" t="s">
        <v>53</v>
      </c>
      <c r="X11" s="15" t="s">
        <v>52</v>
      </c>
    </row>
    <row r="12" spans="2:24" ht="15.6" x14ac:dyDescent="0.25">
      <c r="B12" s="1">
        <v>6</v>
      </c>
      <c r="C12" s="7" t="s">
        <v>24</v>
      </c>
      <c r="D12" s="7" t="str">
        <f t="shared" si="3"/>
        <v>4096</v>
      </c>
      <c r="E12" s="7" t="str">
        <f t="shared" si="4"/>
        <v>3072</v>
      </c>
      <c r="F12" s="7" t="s">
        <v>25</v>
      </c>
      <c r="G12" s="9">
        <v>24</v>
      </c>
      <c r="H12" s="17">
        <v>75</v>
      </c>
      <c r="I12" s="17">
        <v>400</v>
      </c>
      <c r="J12" s="17">
        <v>7812</v>
      </c>
      <c r="K12" s="17">
        <f t="shared" si="0"/>
        <v>5.3330000000000002</v>
      </c>
      <c r="L12" s="2">
        <f t="shared" ref="L12:L20" si="5">ROUND(H12*10^6/I12/J12,2)</f>
        <v>24</v>
      </c>
      <c r="M12" s="2" t="s">
        <v>41</v>
      </c>
      <c r="N12" s="3">
        <f t="shared" si="1"/>
        <v>2.8439999999999999</v>
      </c>
      <c r="O12" s="3">
        <f t="shared" si="2"/>
        <v>25.277999999999999</v>
      </c>
      <c r="P12" s="2" t="s">
        <v>26</v>
      </c>
      <c r="Q12" s="17">
        <v>3</v>
      </c>
      <c r="R12" s="9">
        <v>2.4</v>
      </c>
      <c r="S12" s="2" t="s">
        <v>27</v>
      </c>
      <c r="T12" s="17">
        <v>4096</v>
      </c>
      <c r="U12" s="17">
        <v>768</v>
      </c>
      <c r="V12" s="14" t="s">
        <v>53</v>
      </c>
      <c r="W12" s="14" t="s">
        <v>53</v>
      </c>
      <c r="X12" s="15" t="s">
        <v>52</v>
      </c>
    </row>
    <row r="13" spans="2:24" ht="15.6" x14ac:dyDescent="0.25">
      <c r="B13" s="1">
        <v>7</v>
      </c>
      <c r="C13" s="7" t="s">
        <v>34</v>
      </c>
      <c r="D13" s="7" t="str">
        <f t="shared" si="3"/>
        <v>8196</v>
      </c>
      <c r="E13" s="7" t="str">
        <f t="shared" si="4"/>
        <v>6144</v>
      </c>
      <c r="F13" s="7" t="s">
        <v>35</v>
      </c>
      <c r="G13" s="9">
        <v>24</v>
      </c>
      <c r="H13" s="17">
        <v>75</v>
      </c>
      <c r="I13" s="17">
        <v>600</v>
      </c>
      <c r="J13" s="17">
        <v>11360</v>
      </c>
      <c r="K13" s="17">
        <f t="shared" si="0"/>
        <v>8</v>
      </c>
      <c r="L13" s="2">
        <f t="shared" si="5"/>
        <v>11</v>
      </c>
      <c r="M13" s="2" t="s">
        <v>42</v>
      </c>
      <c r="N13" s="3">
        <f t="shared" si="1"/>
        <v>3.02</v>
      </c>
      <c r="O13" s="3">
        <f t="shared" si="2"/>
        <v>41.728000000000002</v>
      </c>
      <c r="P13" s="2" t="s">
        <v>26</v>
      </c>
      <c r="Q13" s="17">
        <v>3</v>
      </c>
      <c r="R13" s="9">
        <v>2.4</v>
      </c>
      <c r="S13" s="2" t="s">
        <v>27</v>
      </c>
      <c r="T13" s="17">
        <v>4096</v>
      </c>
      <c r="U13" s="17">
        <v>1536</v>
      </c>
      <c r="V13" s="14" t="s">
        <v>53</v>
      </c>
      <c r="W13" s="14" t="s">
        <v>53</v>
      </c>
      <c r="X13" s="15" t="s">
        <v>52</v>
      </c>
    </row>
    <row r="14" spans="2:24" ht="15.6" x14ac:dyDescent="0.25">
      <c r="B14" s="1">
        <v>9</v>
      </c>
      <c r="C14" s="7" t="s">
        <v>24</v>
      </c>
      <c r="D14" s="7" t="str">
        <f t="shared" si="3"/>
        <v>4096</v>
      </c>
      <c r="E14" s="7" t="str">
        <f t="shared" si="4"/>
        <v>3072</v>
      </c>
      <c r="F14" s="7" t="s">
        <v>36</v>
      </c>
      <c r="G14" s="9">
        <v>24</v>
      </c>
      <c r="H14" s="17">
        <v>75</v>
      </c>
      <c r="I14" s="17">
        <v>400</v>
      </c>
      <c r="J14" s="17">
        <v>6248</v>
      </c>
      <c r="K14" s="17">
        <f t="shared" si="0"/>
        <v>5.3330000000000002</v>
      </c>
      <c r="L14" s="2">
        <f t="shared" si="5"/>
        <v>30.01</v>
      </c>
      <c r="M14" s="2" t="s">
        <v>42</v>
      </c>
      <c r="N14" s="3">
        <f t="shared" si="1"/>
        <v>2.8439999999999999</v>
      </c>
      <c r="O14" s="3">
        <f t="shared" si="2"/>
        <v>16.937999999999999</v>
      </c>
      <c r="P14" s="2" t="s">
        <v>26</v>
      </c>
      <c r="Q14" s="17">
        <v>3</v>
      </c>
      <c r="R14" s="9">
        <v>2.4</v>
      </c>
      <c r="S14" s="2" t="s">
        <v>27</v>
      </c>
      <c r="T14" s="17">
        <v>2048</v>
      </c>
      <c r="U14" s="17">
        <v>768</v>
      </c>
      <c r="V14" s="14" t="s">
        <v>53</v>
      </c>
      <c r="W14" s="14" t="s">
        <v>53</v>
      </c>
      <c r="X14" s="15" t="s">
        <v>52</v>
      </c>
    </row>
    <row r="15" spans="2:24" ht="15.6" x14ac:dyDescent="0.25">
      <c r="B15" s="4">
        <v>10</v>
      </c>
      <c r="C15" s="8" t="s">
        <v>37</v>
      </c>
      <c r="D15" s="8">
        <v>1088</v>
      </c>
      <c r="E15" s="8">
        <v>612</v>
      </c>
      <c r="F15" s="8" t="s">
        <v>31</v>
      </c>
      <c r="G15" s="10">
        <v>24</v>
      </c>
      <c r="H15" s="17">
        <v>75</v>
      </c>
      <c r="I15" s="17">
        <v>237</v>
      </c>
      <c r="J15" s="17">
        <v>658</v>
      </c>
      <c r="K15" s="17">
        <f t="shared" si="0"/>
        <v>3.16</v>
      </c>
      <c r="L15" s="2">
        <f t="shared" si="5"/>
        <v>480.94</v>
      </c>
      <c r="M15" s="2" t="s">
        <v>41</v>
      </c>
      <c r="N15" s="3">
        <f t="shared" si="1"/>
        <v>2.4990000000000001</v>
      </c>
      <c r="O15" s="3">
        <f t="shared" si="2"/>
        <v>0.14499999999999999</v>
      </c>
      <c r="P15" s="5" t="s">
        <v>26</v>
      </c>
      <c r="Q15" s="17">
        <v>3</v>
      </c>
      <c r="R15" s="9">
        <v>2.4</v>
      </c>
      <c r="S15" s="6" t="s">
        <v>33</v>
      </c>
      <c r="T15" s="17"/>
      <c r="U15" s="17"/>
      <c r="V15" s="14" t="s">
        <v>53</v>
      </c>
      <c r="W15" s="14" t="s">
        <v>53</v>
      </c>
      <c r="X15" s="15" t="s">
        <v>52</v>
      </c>
    </row>
    <row r="16" spans="2:24" ht="15.6" x14ac:dyDescent="0.25">
      <c r="B16" s="24">
        <v>11</v>
      </c>
      <c r="C16" s="25" t="s">
        <v>38</v>
      </c>
      <c r="D16" s="25" t="str">
        <f t="shared" si="3"/>
        <v>1776</v>
      </c>
      <c r="E16" s="25" t="str">
        <f t="shared" si="4"/>
        <v>1332</v>
      </c>
      <c r="F16" s="25" t="s">
        <v>31</v>
      </c>
      <c r="G16" s="26">
        <v>24</v>
      </c>
      <c r="H16" s="27">
        <v>75</v>
      </c>
      <c r="I16" s="27">
        <v>400</v>
      </c>
      <c r="J16" s="27">
        <v>7812</v>
      </c>
      <c r="K16" s="27">
        <f t="shared" si="0"/>
        <v>5.3330000000000002</v>
      </c>
      <c r="L16" s="2">
        <f t="shared" si="5"/>
        <v>24</v>
      </c>
      <c r="M16" s="28" t="s">
        <v>41</v>
      </c>
      <c r="N16" s="29">
        <f t="shared" si="1"/>
        <v>4.2539999999999996</v>
      </c>
      <c r="O16" s="29">
        <f t="shared" si="2"/>
        <v>34.558</v>
      </c>
      <c r="P16" s="28" t="s">
        <v>26</v>
      </c>
      <c r="Q16" s="27">
        <v>3</v>
      </c>
      <c r="R16" s="26">
        <v>2.4</v>
      </c>
      <c r="S16" s="28" t="s">
        <v>27</v>
      </c>
      <c r="T16" s="27">
        <v>1776</v>
      </c>
      <c r="U16" s="27">
        <v>666</v>
      </c>
      <c r="V16" s="30" t="s">
        <v>53</v>
      </c>
      <c r="W16" s="30" t="s">
        <v>53</v>
      </c>
      <c r="X16" s="31" t="s">
        <v>52</v>
      </c>
    </row>
    <row r="17" spans="1:24" ht="15.6" x14ac:dyDescent="0.25">
      <c r="B17" s="1" t="s">
        <v>56</v>
      </c>
      <c r="C17" s="7" t="s">
        <v>38</v>
      </c>
      <c r="D17" s="7" t="str">
        <f t="shared" ref="D17:D18" si="6">LEFT(C17,4)</f>
        <v>1776</v>
      </c>
      <c r="E17" s="7" t="str">
        <f t="shared" ref="E17:E18" si="7">RIGHT(C17,4)</f>
        <v>1332</v>
      </c>
      <c r="F17" s="23" t="s">
        <v>57</v>
      </c>
      <c r="G17" s="9">
        <v>24</v>
      </c>
      <c r="H17" s="17">
        <v>75</v>
      </c>
      <c r="I17" s="17">
        <v>400</v>
      </c>
      <c r="J17" s="17">
        <v>7812</v>
      </c>
      <c r="K17" s="17">
        <f t="shared" ref="K17:K18" si="8">ROUND(I17/H17,3)</f>
        <v>5.3330000000000002</v>
      </c>
      <c r="L17" s="2">
        <f t="shared" si="5"/>
        <v>24</v>
      </c>
      <c r="M17" s="2" t="s">
        <v>41</v>
      </c>
      <c r="N17" s="3">
        <f t="shared" si="1"/>
        <v>4.2539999999999996</v>
      </c>
      <c r="O17" s="3">
        <f t="shared" ref="O17" si="9">ROUND((J17-E17)*K17/1000,3)</f>
        <v>34.558</v>
      </c>
      <c r="P17" s="2" t="s">
        <v>26</v>
      </c>
      <c r="Q17" s="17">
        <v>3</v>
      </c>
      <c r="R17" s="9">
        <v>2.4</v>
      </c>
      <c r="S17" s="2" t="s">
        <v>27</v>
      </c>
      <c r="T17" s="17">
        <v>1776</v>
      </c>
      <c r="U17" s="17">
        <v>333</v>
      </c>
      <c r="V17" s="14" t="s">
        <v>53</v>
      </c>
      <c r="W17" s="14" t="s">
        <v>53</v>
      </c>
      <c r="X17" s="15" t="s">
        <v>52</v>
      </c>
    </row>
    <row r="18" spans="1:24" ht="15.6" x14ac:dyDescent="0.25">
      <c r="B18" s="1">
        <v>12</v>
      </c>
      <c r="C18" s="7" t="s">
        <v>24</v>
      </c>
      <c r="D18" s="7" t="str">
        <f t="shared" si="6"/>
        <v>4096</v>
      </c>
      <c r="E18" s="7" t="str">
        <f t="shared" si="7"/>
        <v>3072</v>
      </c>
      <c r="F18" s="7" t="s">
        <v>54</v>
      </c>
      <c r="G18" s="9">
        <v>24</v>
      </c>
      <c r="H18" s="17">
        <v>75</v>
      </c>
      <c r="I18" s="17">
        <v>400</v>
      </c>
      <c r="J18" s="17">
        <v>6248</v>
      </c>
      <c r="K18" s="17">
        <f t="shared" si="8"/>
        <v>5.3330000000000002</v>
      </c>
      <c r="L18" s="2">
        <f t="shared" si="5"/>
        <v>30.01</v>
      </c>
      <c r="M18" s="2" t="s">
        <v>42</v>
      </c>
      <c r="N18" s="3">
        <f t="shared" ref="N18" si="10">ROUND(K18-(D18*10)/(Q18*R18*1000*16/7),3)</f>
        <v>2.8439999999999999</v>
      </c>
      <c r="O18" s="3">
        <f t="shared" ref="O18:O23" si="11">ROUND((J18-E18)*K18/1000,3)</f>
        <v>16.937999999999999</v>
      </c>
      <c r="P18" s="2" t="s">
        <v>26</v>
      </c>
      <c r="Q18" s="17">
        <v>3</v>
      </c>
      <c r="R18" s="9">
        <v>2.4</v>
      </c>
      <c r="S18" s="2" t="s">
        <v>27</v>
      </c>
      <c r="T18" s="17">
        <v>2048</v>
      </c>
      <c r="U18" s="17">
        <v>768</v>
      </c>
      <c r="V18" s="14" t="s">
        <v>53</v>
      </c>
      <c r="W18" s="14" t="s">
        <v>53</v>
      </c>
      <c r="X18" s="15" t="s">
        <v>52</v>
      </c>
    </row>
    <row r="19" spans="1:24" ht="15.6" x14ac:dyDescent="0.25">
      <c r="B19" s="1">
        <v>13</v>
      </c>
      <c r="C19" s="7" t="s">
        <v>24</v>
      </c>
      <c r="D19" s="7" t="str">
        <f t="shared" si="3"/>
        <v>4096</v>
      </c>
      <c r="E19" s="7" t="str">
        <f t="shared" si="4"/>
        <v>3072</v>
      </c>
      <c r="F19" s="7" t="s">
        <v>39</v>
      </c>
      <c r="G19" s="9">
        <v>24</v>
      </c>
      <c r="H19" s="17">
        <v>75</v>
      </c>
      <c r="I19" s="17">
        <v>400</v>
      </c>
      <c r="J19" s="17">
        <v>7812</v>
      </c>
      <c r="K19" s="17">
        <f t="shared" si="0"/>
        <v>5.3330000000000002</v>
      </c>
      <c r="L19" s="2">
        <f t="shared" si="5"/>
        <v>24</v>
      </c>
      <c r="M19" s="2" t="s">
        <v>42</v>
      </c>
      <c r="N19" s="3">
        <f t="shared" si="1"/>
        <v>2.8439999999999999</v>
      </c>
      <c r="O19" s="3">
        <f t="shared" si="11"/>
        <v>25.277999999999999</v>
      </c>
      <c r="P19" s="2" t="s">
        <v>26</v>
      </c>
      <c r="Q19" s="17">
        <v>3</v>
      </c>
      <c r="R19" s="9">
        <v>2.4</v>
      </c>
      <c r="S19" s="2" t="s">
        <v>27</v>
      </c>
      <c r="T19" s="17">
        <v>2048</v>
      </c>
      <c r="U19" s="17">
        <v>768</v>
      </c>
      <c r="V19" s="14" t="s">
        <v>53</v>
      </c>
      <c r="W19" s="14" t="s">
        <v>53</v>
      </c>
      <c r="X19" s="15" t="s">
        <v>52</v>
      </c>
    </row>
    <row r="20" spans="1:24" ht="15.6" x14ac:dyDescent="0.25">
      <c r="B20" s="1">
        <v>14</v>
      </c>
      <c r="C20" s="7" t="s">
        <v>24</v>
      </c>
      <c r="D20" s="7" t="str">
        <f t="shared" ref="D20:D24" si="12">LEFT(C20,4)</f>
        <v>4096</v>
      </c>
      <c r="E20" s="7" t="str">
        <f t="shared" ref="E20:E21" si="13">RIGHT(C20,4)</f>
        <v>3072</v>
      </c>
      <c r="F20" s="7" t="s">
        <v>54</v>
      </c>
      <c r="G20" s="9">
        <v>24</v>
      </c>
      <c r="H20" s="17">
        <v>75</v>
      </c>
      <c r="I20" s="17">
        <v>400</v>
      </c>
      <c r="J20" s="17">
        <v>7812</v>
      </c>
      <c r="K20" s="17">
        <f t="shared" ref="K20:K23" si="14">ROUND(I20/H20,3)</f>
        <v>5.3330000000000002</v>
      </c>
      <c r="L20" s="2">
        <f t="shared" si="5"/>
        <v>24</v>
      </c>
      <c r="M20" s="2" t="s">
        <v>42</v>
      </c>
      <c r="N20" s="3">
        <f t="shared" si="1"/>
        <v>2.8439999999999999</v>
      </c>
      <c r="O20" s="3">
        <f t="shared" si="11"/>
        <v>25.277999999999999</v>
      </c>
      <c r="P20" s="2" t="s">
        <v>26</v>
      </c>
      <c r="Q20" s="17">
        <v>3</v>
      </c>
      <c r="R20" s="9">
        <v>2.4</v>
      </c>
      <c r="S20" s="2" t="s">
        <v>27</v>
      </c>
      <c r="T20" s="17">
        <v>2048</v>
      </c>
      <c r="U20" s="17">
        <v>768</v>
      </c>
      <c r="V20" s="14" t="s">
        <v>53</v>
      </c>
      <c r="W20" s="14" t="s">
        <v>53</v>
      </c>
      <c r="X20" s="15" t="s">
        <v>52</v>
      </c>
    </row>
    <row r="21" spans="1:24" ht="15.6" x14ac:dyDescent="0.25">
      <c r="B21" s="1">
        <v>15</v>
      </c>
      <c r="C21" s="7" t="s">
        <v>28</v>
      </c>
      <c r="D21" s="7" t="str">
        <f t="shared" si="12"/>
        <v>4096</v>
      </c>
      <c r="E21" s="7" t="str">
        <f t="shared" si="13"/>
        <v>2304</v>
      </c>
      <c r="F21" s="7" t="s">
        <v>39</v>
      </c>
      <c r="G21" s="9">
        <v>24</v>
      </c>
      <c r="H21" s="17">
        <v>75</v>
      </c>
      <c r="I21" s="17">
        <v>400</v>
      </c>
      <c r="J21" s="17">
        <v>6248</v>
      </c>
      <c r="K21" s="17">
        <f t="shared" si="14"/>
        <v>5.3330000000000002</v>
      </c>
      <c r="L21" s="2">
        <f t="shared" ref="L21:L26" si="15">ROUND(H21*10^6/I21/J21,2)</f>
        <v>30.01</v>
      </c>
      <c r="M21" s="2" t="s">
        <v>42</v>
      </c>
      <c r="N21" s="3">
        <f t="shared" si="1"/>
        <v>2.8439999999999999</v>
      </c>
      <c r="O21" s="3">
        <f t="shared" si="11"/>
        <v>21.033000000000001</v>
      </c>
      <c r="P21" s="2" t="s">
        <v>26</v>
      </c>
      <c r="Q21" s="17">
        <v>3</v>
      </c>
      <c r="R21" s="9">
        <v>2.4</v>
      </c>
      <c r="S21" s="2" t="s">
        <v>27</v>
      </c>
      <c r="T21" s="17">
        <v>2048</v>
      </c>
      <c r="U21" s="17">
        <v>576</v>
      </c>
      <c r="V21" s="14" t="s">
        <v>53</v>
      </c>
      <c r="W21" s="14" t="s">
        <v>53</v>
      </c>
      <c r="X21" s="15" t="s">
        <v>52</v>
      </c>
    </row>
    <row r="22" spans="1:24" ht="15.6" x14ac:dyDescent="0.25">
      <c r="B22" s="18">
        <v>16</v>
      </c>
      <c r="C22" s="12" t="s">
        <v>46</v>
      </c>
      <c r="D22" s="7" t="str">
        <f t="shared" si="12"/>
        <v>4096</v>
      </c>
      <c r="E22" s="12">
        <v>2048</v>
      </c>
      <c r="F22" s="12" t="s">
        <v>47</v>
      </c>
      <c r="G22" s="9">
        <v>24</v>
      </c>
      <c r="H22" s="17">
        <v>75</v>
      </c>
      <c r="I22" s="17">
        <v>400</v>
      </c>
      <c r="J22" s="17">
        <v>6248</v>
      </c>
      <c r="K22" s="17">
        <f t="shared" si="14"/>
        <v>5.3330000000000002</v>
      </c>
      <c r="L22" s="2">
        <f t="shared" si="15"/>
        <v>30.01</v>
      </c>
      <c r="M22" s="2" t="s">
        <v>41</v>
      </c>
      <c r="N22" s="3">
        <f t="shared" si="1"/>
        <v>2.8439999999999999</v>
      </c>
      <c r="O22" s="3">
        <f t="shared" si="11"/>
        <v>22.399000000000001</v>
      </c>
      <c r="P22" s="2" t="s">
        <v>26</v>
      </c>
      <c r="Q22" s="17">
        <v>3</v>
      </c>
      <c r="R22" s="9">
        <v>2.4</v>
      </c>
      <c r="S22" s="2" t="s">
        <v>27</v>
      </c>
      <c r="T22" s="17" t="str">
        <f>D22</f>
        <v>4096</v>
      </c>
      <c r="U22" s="17">
        <f>E22/4</f>
        <v>512</v>
      </c>
      <c r="V22" s="14" t="s">
        <v>53</v>
      </c>
      <c r="W22" s="14" t="s">
        <v>53</v>
      </c>
      <c r="X22" s="15" t="s">
        <v>52</v>
      </c>
    </row>
    <row r="23" spans="1:24" ht="15.6" x14ac:dyDescent="0.25">
      <c r="B23" s="18">
        <v>17</v>
      </c>
      <c r="C23" s="12" t="s">
        <v>48</v>
      </c>
      <c r="D23" s="7" t="str">
        <f t="shared" si="12"/>
        <v>4096</v>
      </c>
      <c r="E23" s="12">
        <v>2304</v>
      </c>
      <c r="F23" s="12" t="s">
        <v>49</v>
      </c>
      <c r="G23" s="9">
        <v>24</v>
      </c>
      <c r="H23" s="17">
        <v>75</v>
      </c>
      <c r="I23" s="19">
        <v>612</v>
      </c>
      <c r="J23" s="19">
        <v>4084</v>
      </c>
      <c r="K23" s="17">
        <f t="shared" si="14"/>
        <v>8.16</v>
      </c>
      <c r="L23" s="2">
        <f t="shared" si="15"/>
        <v>30.01</v>
      </c>
      <c r="M23" s="2" t="s">
        <v>42</v>
      </c>
      <c r="N23" s="3">
        <f t="shared" si="1"/>
        <v>5.6710000000000003</v>
      </c>
      <c r="O23" s="3">
        <f t="shared" si="11"/>
        <v>14.525</v>
      </c>
      <c r="P23" s="2" t="s">
        <v>26</v>
      </c>
      <c r="Q23" s="17">
        <v>3</v>
      </c>
      <c r="R23" s="9">
        <v>2.4</v>
      </c>
      <c r="S23" s="2" t="s">
        <v>27</v>
      </c>
      <c r="T23" s="17" t="str">
        <f>D23</f>
        <v>4096</v>
      </c>
      <c r="U23" s="17">
        <f>E23/4</f>
        <v>576</v>
      </c>
      <c r="V23" s="14" t="s">
        <v>53</v>
      </c>
      <c r="W23" s="14" t="s">
        <v>53</v>
      </c>
      <c r="X23" s="15" t="s">
        <v>52</v>
      </c>
    </row>
    <row r="24" spans="1:24" ht="15.6" x14ac:dyDescent="0.25">
      <c r="B24" s="18">
        <v>18</v>
      </c>
      <c r="C24" s="12" t="s">
        <v>50</v>
      </c>
      <c r="D24" s="7" t="str">
        <f t="shared" si="12"/>
        <v>4096</v>
      </c>
      <c r="E24" s="12">
        <v>3072</v>
      </c>
      <c r="F24" s="12" t="s">
        <v>51</v>
      </c>
      <c r="G24" s="9">
        <v>24</v>
      </c>
      <c r="H24" s="20">
        <v>75.1875</v>
      </c>
      <c r="I24" s="19">
        <v>800</v>
      </c>
      <c r="J24" s="19">
        <v>3132</v>
      </c>
      <c r="K24" s="17">
        <f>2*ROUND(I24/H24,3)</f>
        <v>21.28</v>
      </c>
      <c r="L24" s="6">
        <f t="shared" si="15"/>
        <v>30.01</v>
      </c>
      <c r="M24" s="2" t="s">
        <v>41</v>
      </c>
      <c r="N24" s="17"/>
      <c r="O24" s="17"/>
      <c r="P24" s="2" t="s">
        <v>26</v>
      </c>
      <c r="Q24" s="17">
        <v>3</v>
      </c>
      <c r="R24" s="9">
        <v>2.4</v>
      </c>
      <c r="S24" s="2" t="s">
        <v>27</v>
      </c>
      <c r="T24" s="17" t="str">
        <f>D24</f>
        <v>4096</v>
      </c>
      <c r="U24" s="17">
        <f>E24/4</f>
        <v>768</v>
      </c>
      <c r="V24" s="14" t="s">
        <v>53</v>
      </c>
      <c r="W24" s="14" t="s">
        <v>53</v>
      </c>
      <c r="X24" s="15" t="s">
        <v>52</v>
      </c>
    </row>
    <row r="25" spans="1:24" ht="15.6" x14ac:dyDescent="0.25">
      <c r="B25" s="18">
        <v>19</v>
      </c>
      <c r="C25" s="12" t="s">
        <v>50</v>
      </c>
      <c r="D25" s="7" t="str">
        <f t="shared" ref="D25" si="16">LEFT(C25,4)</f>
        <v>4096</v>
      </c>
      <c r="E25" s="12">
        <v>3072</v>
      </c>
      <c r="F25" s="12" t="s">
        <v>55</v>
      </c>
      <c r="G25" s="9">
        <v>24</v>
      </c>
      <c r="H25" s="20">
        <v>76.650000000000006</v>
      </c>
      <c r="I25" s="19">
        <v>800</v>
      </c>
      <c r="J25" s="19">
        <v>3192</v>
      </c>
      <c r="K25" s="17">
        <f>2*ROUND(I25/H25,3)</f>
        <v>20.873999999999999</v>
      </c>
      <c r="L25" s="6">
        <f t="shared" si="15"/>
        <v>30.02</v>
      </c>
      <c r="M25" s="2" t="s">
        <v>42</v>
      </c>
      <c r="N25" s="17"/>
      <c r="O25" s="17"/>
      <c r="P25" s="2" t="s">
        <v>26</v>
      </c>
      <c r="Q25" s="17">
        <v>3</v>
      </c>
      <c r="R25" s="9">
        <v>2.4</v>
      </c>
      <c r="S25" s="2" t="s">
        <v>27</v>
      </c>
      <c r="T25" s="17">
        <v>2048</v>
      </c>
      <c r="U25" s="17">
        <f>E25/4</f>
        <v>768</v>
      </c>
      <c r="V25" s="14" t="s">
        <v>53</v>
      </c>
      <c r="W25" s="14" t="s">
        <v>53</v>
      </c>
      <c r="X25" s="15" t="s">
        <v>52</v>
      </c>
    </row>
    <row r="26" spans="1:24" ht="15.6" x14ac:dyDescent="0.25">
      <c r="B26" s="18">
        <v>20</v>
      </c>
      <c r="C26" s="12" t="s">
        <v>50</v>
      </c>
      <c r="D26" s="7" t="str">
        <f t="shared" ref="D26" si="17">LEFT(C26,4)</f>
        <v>4096</v>
      </c>
      <c r="E26" s="12">
        <v>3072</v>
      </c>
      <c r="F26" s="12" t="s">
        <v>49</v>
      </c>
      <c r="G26" s="9">
        <v>24</v>
      </c>
      <c r="H26" s="17">
        <v>75</v>
      </c>
      <c r="I26" s="19">
        <v>612</v>
      </c>
      <c r="J26" s="19">
        <v>4084</v>
      </c>
      <c r="K26" s="17">
        <f t="shared" ref="K26" si="18">ROUND(I26/H26,3)</f>
        <v>8.16</v>
      </c>
      <c r="L26" s="6">
        <f t="shared" si="15"/>
        <v>30.01</v>
      </c>
      <c r="M26" s="2" t="s">
        <v>42</v>
      </c>
      <c r="N26" s="17"/>
      <c r="O26" s="17"/>
      <c r="P26" s="2" t="s">
        <v>26</v>
      </c>
      <c r="Q26" s="17">
        <v>3</v>
      </c>
      <c r="R26" s="9">
        <v>2.4</v>
      </c>
      <c r="S26" s="2" t="s">
        <v>27</v>
      </c>
      <c r="T26" s="17">
        <v>2048</v>
      </c>
      <c r="U26" s="17">
        <f>E26/4</f>
        <v>768</v>
      </c>
      <c r="V26" s="14" t="s">
        <v>53</v>
      </c>
      <c r="W26" s="14" t="s">
        <v>53</v>
      </c>
      <c r="X26" s="15" t="s">
        <v>52</v>
      </c>
    </row>
    <row r="27" spans="1:24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24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24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24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24" x14ac:dyDescent="0.25">
      <c r="A31" s="11"/>
      <c r="B31" s="11"/>
      <c r="C31" s="11"/>
      <c r="D31" s="11"/>
      <c r="E31" s="11"/>
      <c r="F31" s="11"/>
      <c r="G31" s="11"/>
      <c r="H31" s="11"/>
      <c r="I31" s="22"/>
      <c r="J31" s="43"/>
      <c r="K31" s="43"/>
      <c r="L31" s="11"/>
    </row>
    <row r="32" spans="1:24" x14ac:dyDescent="0.25">
      <c r="A32" s="11"/>
      <c r="B32" s="11"/>
      <c r="C32" s="11"/>
      <c r="D32" s="11"/>
      <c r="E32" s="11"/>
      <c r="F32" s="11"/>
      <c r="G32" s="11"/>
      <c r="H32" s="11"/>
      <c r="I32" s="22"/>
      <c r="J32" s="43"/>
      <c r="K32" s="43"/>
      <c r="L32" s="11"/>
    </row>
    <row r="33" spans="1:12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</sheetData>
  <mergeCells count="18">
    <mergeCell ref="J32:K32"/>
    <mergeCell ref="J5:J6"/>
    <mergeCell ref="I5:I6"/>
    <mergeCell ref="H5:H6"/>
    <mergeCell ref="G5:G6"/>
    <mergeCell ref="J31:K31"/>
    <mergeCell ref="B5:B6"/>
    <mergeCell ref="C5:C6"/>
    <mergeCell ref="F5:F6"/>
    <mergeCell ref="D5:D6"/>
    <mergeCell ref="E5:E6"/>
    <mergeCell ref="X5:X6"/>
    <mergeCell ref="S5:U5"/>
    <mergeCell ref="L5:L6"/>
    <mergeCell ref="M5:M6"/>
    <mergeCell ref="N5:O5"/>
    <mergeCell ref="P5:R5"/>
    <mergeCell ref="V5:W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(Ying) Wang 王莹</dc:creator>
  <cp:lastModifiedBy>Zidong Wang 王子冬</cp:lastModifiedBy>
  <dcterms:created xsi:type="dcterms:W3CDTF">2024-09-26T08:51:48Z</dcterms:created>
  <dcterms:modified xsi:type="dcterms:W3CDTF">2025-02-06T00:51:11Z</dcterms:modified>
</cp:coreProperties>
</file>